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PROJECTS\anteso\anteso-frontend\public\templates\"/>
    </mc:Choice>
  </mc:AlternateContent>
  <xr:revisionPtr revIDLastSave="0" documentId="13_ncr:1_{F76839B4-2B8A-403A-82A5-8E48BA88881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est Data" sheetId="1" r:id="rId1"/>
    <sheet name="Sheet1" sheetId="2" r:id="rId2"/>
  </sheets>
  <calcPr calcId="191029"/>
</workbook>
</file>

<file path=xl/calcChain.xml><?xml version="1.0" encoding="utf-8"?>
<calcChain xmlns="http://schemas.openxmlformats.org/spreadsheetml/2006/main">
  <c r="E55" i="2" l="1"/>
  <c r="E54" i="2"/>
  <c r="I49" i="2"/>
  <c r="K49" i="2" s="1"/>
  <c r="G49" i="2"/>
  <c r="I48" i="2"/>
  <c r="K48" i="2" s="1"/>
  <c r="G48" i="2"/>
  <c r="J41" i="2"/>
  <c r="L41" i="2" s="1"/>
  <c r="J40" i="2"/>
  <c r="L40" i="2" s="1"/>
  <c r="R38" i="2"/>
  <c r="Q38" i="2"/>
  <c r="S38" i="2" s="1"/>
  <c r="M35" i="2"/>
  <c r="L35" i="2"/>
  <c r="M34" i="2"/>
  <c r="L34" i="2"/>
  <c r="R18" i="2" s="1"/>
  <c r="P33" i="2"/>
  <c r="O33" i="2"/>
  <c r="M33" i="2"/>
  <c r="L33" i="2"/>
  <c r="Q18" i="2" s="1"/>
  <c r="T18" i="2" s="1"/>
  <c r="X18" i="2" s="1"/>
  <c r="U18" i="2" s="1"/>
  <c r="P32" i="2"/>
  <c r="O32" i="2"/>
  <c r="M32" i="2"/>
  <c r="L32" i="2"/>
  <c r="M31" i="2"/>
  <c r="L31" i="2"/>
  <c r="M30" i="2"/>
  <c r="L30" i="2"/>
  <c r="M29" i="2"/>
  <c r="U33" i="2" s="1"/>
  <c r="L29" i="2"/>
  <c r="M28" i="2"/>
  <c r="T33" i="2" s="1"/>
  <c r="L28" i="2"/>
  <c r="M27" i="2"/>
  <c r="S33" i="2" s="1"/>
  <c r="L27" i="2"/>
  <c r="M26" i="2"/>
  <c r="R33" i="2" s="1"/>
  <c r="L26" i="2"/>
  <c r="P25" i="2"/>
  <c r="M25" i="2"/>
  <c r="Q25" i="2" s="1"/>
  <c r="L25" i="2"/>
  <c r="S24" i="2"/>
  <c r="R24" i="2"/>
  <c r="P24" i="2"/>
  <c r="M24" i="2"/>
  <c r="L24" i="2"/>
  <c r="S23" i="2"/>
  <c r="P23" i="2"/>
  <c r="T23" i="2" s="1"/>
  <c r="M23" i="2"/>
  <c r="L23" i="2"/>
  <c r="M22" i="2"/>
  <c r="Q24" i="2" s="1"/>
  <c r="L22" i="2"/>
  <c r="R16" i="2" s="1"/>
  <c r="X21" i="2"/>
  <c r="T21" i="2"/>
  <c r="M21" i="2"/>
  <c r="L21" i="2"/>
  <c r="M20" i="2"/>
  <c r="R23" i="2" s="1"/>
  <c r="L20" i="2"/>
  <c r="M19" i="2"/>
  <c r="Q23" i="2" s="1"/>
  <c r="L19" i="2"/>
  <c r="S18" i="2"/>
  <c r="P18" i="2"/>
  <c r="M18" i="2"/>
  <c r="L18" i="2"/>
  <c r="S15" i="2" s="1"/>
  <c r="S17" i="2"/>
  <c r="T17" i="2" s="1"/>
  <c r="R17" i="2"/>
  <c r="Q17" i="2"/>
  <c r="P17" i="2"/>
  <c r="X17" i="2" s="1"/>
  <c r="U17" i="2" s="1"/>
  <c r="M17" i="2"/>
  <c r="U32" i="2" s="1"/>
  <c r="L17" i="2"/>
  <c r="S16" i="2"/>
  <c r="Q16" i="2"/>
  <c r="P16" i="2"/>
  <c r="M16" i="2"/>
  <c r="T32" i="2" s="1"/>
  <c r="L16" i="2"/>
  <c r="Q15" i="2"/>
  <c r="T15" i="2" s="1"/>
  <c r="P15" i="2"/>
  <c r="M15" i="2"/>
  <c r="S32" i="2" s="1"/>
  <c r="L15" i="2"/>
  <c r="M14" i="2"/>
  <c r="R32" i="2" s="1"/>
  <c r="L14" i="2"/>
  <c r="M13" i="2"/>
  <c r="Q32" i="2" s="1"/>
  <c r="L13" i="2"/>
  <c r="R15" i="2" s="1"/>
  <c r="M12" i="2"/>
  <c r="L12" i="2"/>
  <c r="T16" i="2" l="1"/>
  <c r="T24" i="2"/>
  <c r="V32" i="2"/>
  <c r="W32" i="2" s="1"/>
  <c r="X32" i="2" s="1"/>
  <c r="Y32" i="2" s="1"/>
  <c r="X16" i="2"/>
  <c r="U16" i="2" s="1"/>
  <c r="X15" i="2"/>
  <c r="U15" i="2" s="1"/>
  <c r="R25" i="2"/>
  <c r="T25" i="2" s="1"/>
  <c r="U23" i="2" s="1"/>
  <c r="X23" i="2" s="1"/>
  <c r="S25" i="2"/>
  <c r="Q33" i="2"/>
  <c r="V33" i="2" s="1"/>
  <c r="W33" i="2" s="1"/>
  <c r="X33" i="2" s="1"/>
  <c r="Y33" i="2" s="1"/>
</calcChain>
</file>

<file path=xl/sharedStrings.xml><?xml version="1.0" encoding="utf-8"?>
<sst xmlns="http://schemas.openxmlformats.org/spreadsheetml/2006/main" count="260" uniqueCount="145">
  <si>
    <t>TEST: ACCURACY OF IRRADIATION TIME</t>
  </si>
  <si>
    <t>FCD</t>
  </si>
  <si>
    <t>100</t>
  </si>
  <si>
    <t>kV</t>
  </si>
  <si>
    <t>80</t>
  </si>
  <si>
    <t>mA</t>
  </si>
  <si>
    <t>Set Time (ms)</t>
  </si>
  <si>
    <t>Measured Time (ms)</t>
  </si>
  <si>
    <t/>
  </si>
  <si>
    <t>200</t>
  </si>
  <si>
    <t>400</t>
  </si>
  <si>
    <t>Tolerance</t>
  </si>
  <si>
    <t>&lt;=</t>
  </si>
  <si>
    <t>10%</t>
  </si>
  <si>
    <t>TEST: TOTAL FILTRATION AND ACCURACY OF OPERATING POTENTIAL</t>
  </si>
  <si>
    <t>Applied kVp</t>
  </si>
  <si>
    <t>Meas 1 (50 mA)</t>
  </si>
  <si>
    <t>Meas 2 (100 mA)</t>
  </si>
  <si>
    <t>Average kVp</t>
  </si>
  <si>
    <t>Remarks</t>
  </si>
  <si>
    <t>60</t>
  </si>
  <si>
    <t>Total Filtration</t>
  </si>
  <si>
    <t>Measured (mm Al)</t>
  </si>
  <si>
    <t>Required (mm Al)</t>
  </si>
  <si>
    <t>At kVp</t>
  </si>
  <si>
    <t>TotalFiltration</t>
  </si>
  <si>
    <t>2.5</t>
  </si>
  <si>
    <t>TEST: CONSISTENCY OF RADIATION OUTPUT</t>
  </si>
  <si>
    <t>FFD (cm)</t>
  </si>
  <si>
    <t>Time (ms)</t>
  </si>
  <si>
    <t>Meas 1</t>
  </si>
  <si>
    <t>Meas 2</t>
  </si>
  <si>
    <t>Meas 3</t>
  </si>
  <si>
    <t>Mean</t>
  </si>
  <si>
    <t>CoV</t>
  </si>
  <si>
    <t>Tolerance (CoV)</t>
  </si>
  <si>
    <t>0.02</t>
  </si>
  <si>
    <t>TEST: LOW CONTRAST RESOLUTION</t>
  </si>
  <si>
    <t>Smallest Hole Size (mm)</t>
  </si>
  <si>
    <t>Recommended Standard</t>
  </si>
  <si>
    <t>TEST: HIGH CONTRAST RESOLUTION</t>
  </si>
  <si>
    <t>Line Pairs per mm (Lp/mm)</t>
  </si>
  <si>
    <t>TEST: EXPOSURE RATE AT TABLE TOP</t>
  </si>
  <si>
    <t>AEC Tolerance (%)</t>
  </si>
  <si>
    <t>Non-AEC Tolerance (%)</t>
  </si>
  <si>
    <t>Min Focus Distance (cm)</t>
  </si>
  <si>
    <t>Distance (cm)</t>
  </si>
  <si>
    <t>mR 1</t>
  </si>
  <si>
    <t>mR 2</t>
  </si>
  <si>
    <t>mR 3</t>
  </si>
  <si>
    <t>TEST: TUBE HOUSING LEAKAGE</t>
  </si>
  <si>
    <t>FCD (cm)</t>
  </si>
  <si>
    <t>Time (min)</t>
  </si>
  <si>
    <t>1</t>
  </si>
  <si>
    <t>Workload</t>
  </si>
  <si>
    <t>1000</t>
  </si>
  <si>
    <t>Tolerance (mGy/h)</t>
  </si>
  <si>
    <t>1.0</t>
  </si>
  <si>
    <t>Location</t>
  </si>
  <si>
    <t>Left</t>
  </si>
  <si>
    <t>Right</t>
  </si>
  <si>
    <t>Front</t>
  </si>
  <si>
    <t>Back</t>
  </si>
  <si>
    <t>Top</t>
  </si>
  <si>
    <t>Tube</t>
  </si>
  <si>
    <t>Collimator</t>
  </si>
  <si>
    <t>TEST: LINEARITY OF mA LOADING</t>
  </si>
  <si>
    <t>mA Station</t>
  </si>
  <si>
    <t>50</t>
  </si>
  <si>
    <t>Tolerance (CoL)</t>
  </si>
  <si>
    <t>0.1</t>
  </si>
  <si>
    <t>TEST: LINEARITY OF mAs LOADING</t>
  </si>
  <si>
    <t>mAs</t>
  </si>
  <si>
    <t>5</t>
  </si>
  <si>
    <t>10</t>
  </si>
  <si>
    <t>Name of the Hospital</t>
  </si>
  <si>
    <t>Address</t>
  </si>
  <si>
    <t xml:space="preserve"> </t>
  </si>
  <si>
    <t>Make</t>
  </si>
  <si>
    <t xml:space="preserve">Wipro GE Healthcare </t>
  </si>
  <si>
    <t>Temp</t>
  </si>
  <si>
    <t>Model</t>
  </si>
  <si>
    <t>Hum</t>
  </si>
  <si>
    <t>Ser No</t>
  </si>
  <si>
    <t>Type</t>
  </si>
  <si>
    <t>C-Arm</t>
  </si>
  <si>
    <t xml:space="preserve">Date of QA </t>
  </si>
  <si>
    <t>LEAD</t>
  </si>
  <si>
    <t>Wipro GE Healthcare</t>
  </si>
  <si>
    <t>Time</t>
  </si>
  <si>
    <t>Tube voltage_x000D_(kV)</t>
  </si>
  <si>
    <t>Exposure time_x000D_(ms)</t>
  </si>
  <si>
    <t>Exposure_x000D_(mGy)</t>
  </si>
  <si>
    <t>Exposure rate_x000D_(mGy/s)</t>
  </si>
  <si>
    <t>HVL_x000D_(mm Al)</t>
  </si>
  <si>
    <t>Total filtr._x000D_(mm Al)</t>
  </si>
  <si>
    <t>ACCURACY OF OPERATING POTENTIAL KV TEST</t>
  </si>
  <si>
    <t>KV</t>
  </si>
  <si>
    <t>Measured kV at mAs Used</t>
  </si>
  <si>
    <t>AVG KV</t>
  </si>
  <si>
    <t>RESULT</t>
  </si>
  <si>
    <t>DIFFERENCE</t>
  </si>
  <si>
    <t>If the difference of the Applied value and Measured value or average value is &gt;=5, then Fail Else the result  is Pass.</t>
  </si>
  <si>
    <t>Tolerance: ± 5 kV</t>
  </si>
  <si>
    <t>mA LINEARITY TEST</t>
  </si>
  <si>
    <t>MA</t>
  </si>
  <si>
    <t>Dose in mGy</t>
  </si>
  <si>
    <t>X</t>
  </si>
  <si>
    <t>COL</t>
  </si>
  <si>
    <t>Tolerance: CoL&lt;0.1</t>
  </si>
  <si>
    <t>OUTPUT CONSISTANCY TEST</t>
  </si>
  <si>
    <t>MEAN (X)</t>
  </si>
  <si>
    <t>SD</t>
  </si>
  <si>
    <t>COV</t>
  </si>
  <si>
    <t>Tolerance: CoV &lt; 0.05</t>
  </si>
  <si>
    <t>TOTAL FILTRATION</t>
  </si>
  <si>
    <t>TF</t>
  </si>
  <si>
    <t>Table Top Dose Rate</t>
  </si>
  <si>
    <t>cGy/min</t>
  </si>
  <si>
    <t>Mode</t>
  </si>
  <si>
    <t>Result</t>
  </si>
  <si>
    <t>Tolerance for Total Filtration: 1.5 mm Al for kV &gt;70, 2.0 mm Al for 70&lt; kV &lt;=100, 2.5 mm Al for kV &gt; 100</t>
  </si>
  <si>
    <t>Total Fitration must be taken at max. kV</t>
  </si>
  <si>
    <t>NON-AEC</t>
  </si>
  <si>
    <t>Tolerance: ≤ 5 cGy/Min</t>
  </si>
  <si>
    <t>AEC</t>
  </si>
  <si>
    <t>Toleranc: ≤10cGy/Min</t>
  </si>
  <si>
    <t>TIME (SEC)</t>
  </si>
  <si>
    <r>
      <rPr>
        <sz val="11"/>
        <color theme="1"/>
        <rFont val="Times New Roman"/>
        <family val="1"/>
      </rPr>
      <t>≈</t>
    </r>
    <r>
      <rPr>
        <sz val="11"/>
        <color theme="1"/>
        <rFont val="Calibri"/>
        <family val="2"/>
      </rPr>
      <t xml:space="preserve"> </t>
    </r>
    <r>
      <rPr>
        <sz val="12"/>
        <color theme="1"/>
        <rFont val="Calibri"/>
        <family val="2"/>
        <scheme val="minor"/>
      </rPr>
      <t>2</t>
    </r>
  </si>
  <si>
    <t>mAmin in 1 hr</t>
  </si>
  <si>
    <t>mR/h</t>
  </si>
  <si>
    <t>mR/hr</t>
  </si>
  <si>
    <t>mGy/hr</t>
  </si>
  <si>
    <t>LEFT</t>
  </si>
  <si>
    <t>RIGHT</t>
  </si>
  <si>
    <t>FRONT</t>
  </si>
  <si>
    <t>BACK</t>
  </si>
  <si>
    <t>TOP</t>
  </si>
  <si>
    <t>Tolerance: Tube Leakage &lt; 1 mGy in one hour</t>
  </si>
  <si>
    <t>LOW CONTRAST</t>
  </si>
  <si>
    <t>MM HOLE VISIBLE</t>
  </si>
  <si>
    <t xml:space="preserve">Toleranc: 3.0 mm hole pattern must be resolved </t>
  </si>
  <si>
    <t>HIGH CONTRAST</t>
  </si>
  <si>
    <t>LP/MM</t>
  </si>
  <si>
    <t xml:space="preserve">Toleranc: 1.5 lp/mm pattern must be resolved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</si>
</sst>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9" x14ac:knownFonts="1"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Calibri"/>
      <family val="1"/>
      <scheme val="minor"/>
    </font>
    <font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9">
    <xf numFmtId="0" fontId="0" fillId="0" borderId="0" xfId="0"/>
    <xf numFmtId="0" fontId="1" fillId="0" borderId="1" xfId="0" applyFont="1" applyBorder="1" applyAlignment="1">
      <alignment wrapText="1"/>
    </xf>
    <xf numFmtId="0" fontId="0" fillId="0" borderId="1" xfId="0" applyBorder="1" applyAlignment="1">
      <alignment horizontal="left"/>
    </xf>
    <xf numFmtId="0" fontId="1" fillId="0" borderId="0" xfId="0" applyFont="1" applyAlignment="1" applyProtection="1">
      <alignment horizontal="left" vertical="center"/>
      <protection locked="0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1" xfId="0" applyFont="1" applyBorder="1"/>
    <xf numFmtId="9" fontId="0" fillId="0" borderId="0" xfId="0" applyNumberFormat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5" fontId="0" fillId="0" borderId="0" xfId="0" applyNumberFormat="1" applyAlignment="1">
      <alignment horizontal="center"/>
    </xf>
    <xf numFmtId="0" fontId="2" fillId="2" borderId="2" xfId="0" applyFont="1" applyFill="1" applyBorder="1"/>
    <xf numFmtId="0" fontId="2" fillId="2" borderId="3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3" fillId="3" borderId="0" xfId="0" applyFont="1" applyFill="1"/>
    <xf numFmtId="0" fontId="0" fillId="4" borderId="1" xfId="0" applyFill="1" applyBorder="1" applyAlignment="1">
      <alignment horizontal="center" vertical="center"/>
    </xf>
    <xf numFmtId="0" fontId="0" fillId="4" borderId="1" xfId="0" applyFill="1" applyBorder="1"/>
    <xf numFmtId="0" fontId="0" fillId="5" borderId="0" xfId="0" applyFill="1"/>
    <xf numFmtId="2" fontId="0" fillId="6" borderId="1" xfId="0" applyNumberFormat="1" applyFill="1" applyBorder="1"/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0" borderId="9" xfId="0" applyBorder="1"/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/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1" fillId="6" borderId="15" xfId="0" applyNumberFormat="1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0" fillId="0" borderId="15" xfId="0" applyBorder="1"/>
    <xf numFmtId="2" fontId="0" fillId="0" borderId="16" xfId="0" applyNumberFormat="1" applyBorder="1" applyAlignment="1">
      <alignment horizontal="center" vertical="center"/>
    </xf>
    <xf numFmtId="2" fontId="0" fillId="0" borderId="0" xfId="0" applyNumberFormat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2" fontId="0" fillId="6" borderId="20" xfId="0" applyNumberFormat="1" applyFill="1" applyBorder="1" applyAlignment="1">
      <alignment horizontal="center" vertical="center"/>
    </xf>
    <xf numFmtId="2" fontId="1" fillId="6" borderId="20" xfId="0" applyNumberFormat="1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0" fillId="0" borderId="20" xfId="0" applyBorder="1"/>
    <xf numFmtId="2" fontId="0" fillId="0" borderId="21" xfId="0" applyNumberFormat="1" applyBorder="1" applyAlignment="1">
      <alignment horizontal="center" vertical="center"/>
    </xf>
    <xf numFmtId="0" fontId="0" fillId="0" borderId="22" xfId="0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1" fillId="0" borderId="22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4" fontId="4" fillId="7" borderId="9" xfId="0" applyNumberFormat="1" applyFont="1" applyFill="1" applyBorder="1" applyAlignment="1">
      <alignment horizontal="center" vertical="center" wrapText="1"/>
    </xf>
    <xf numFmtId="165" fontId="0" fillId="0" borderId="28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 wrapText="1"/>
    </xf>
    <xf numFmtId="165" fontId="0" fillId="0" borderId="31" xfId="0" applyNumberFormat="1" applyBorder="1" applyAlignment="1">
      <alignment horizontal="center" vertical="center"/>
    </xf>
    <xf numFmtId="164" fontId="0" fillId="0" borderId="32" xfId="0" applyNumberForma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64" fontId="4" fillId="7" borderId="12" xfId="0" applyNumberFormat="1" applyFont="1" applyFill="1" applyBorder="1" applyAlignment="1">
      <alignment horizontal="center" vertical="center" wrapText="1"/>
    </xf>
    <xf numFmtId="165" fontId="0" fillId="0" borderId="35" xfId="0" applyNumberFormat="1" applyBorder="1" applyAlignment="1">
      <alignment horizontal="center" vertical="center"/>
    </xf>
    <xf numFmtId="164" fontId="0" fillId="0" borderId="36" xfId="0" applyNumberForma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1" fillId="5" borderId="23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39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42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1" fillId="0" borderId="49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164" fontId="5" fillId="0" borderId="12" xfId="0" applyNumberFormat="1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1" fillId="0" borderId="50" xfId="0" applyFont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164" fontId="6" fillId="8" borderId="9" xfId="0" applyNumberFormat="1" applyFont="1" applyFill="1" applyBorder="1" applyAlignment="1">
      <alignment horizontal="center" vertical="center" wrapText="1"/>
    </xf>
    <xf numFmtId="164" fontId="6" fillId="8" borderId="28" xfId="0" applyNumberFormat="1" applyFont="1" applyFill="1" applyBorder="1" applyAlignment="1">
      <alignment horizontal="center" vertical="center" wrapText="1"/>
    </xf>
    <xf numFmtId="164" fontId="5" fillId="0" borderId="9" xfId="0" applyNumberFormat="1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1" fillId="0" borderId="51" xfId="0" applyFont="1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164" fontId="6" fillId="8" borderId="12" xfId="0" applyNumberFormat="1" applyFont="1" applyFill="1" applyBorder="1" applyAlignment="1">
      <alignment horizontal="center" vertical="center" wrapText="1"/>
    </xf>
    <xf numFmtId="164" fontId="6" fillId="8" borderId="35" xfId="0" applyNumberFormat="1" applyFont="1" applyFill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1" fillId="0" borderId="52" xfId="0" applyFont="1" applyBorder="1" applyAlignment="1">
      <alignment horizontal="center" vertical="center"/>
    </xf>
    <xf numFmtId="0" fontId="0" fillId="0" borderId="32" xfId="0" applyBorder="1"/>
    <xf numFmtId="0" fontId="0" fillId="0" borderId="51" xfId="0" applyBorder="1" applyAlignment="1">
      <alignment horizontal="center" vertical="center"/>
    </xf>
    <xf numFmtId="0" fontId="0" fillId="0" borderId="36" xfId="0" applyBorder="1"/>
    <xf numFmtId="0" fontId="0" fillId="0" borderId="53" xfId="0" applyBorder="1" applyAlignment="1">
      <alignment horizontal="left"/>
    </xf>
    <xf numFmtId="0" fontId="0" fillId="0" borderId="52" xfId="0" applyBorder="1" applyAlignment="1">
      <alignment horizontal="left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30" xfId="0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2" fontId="0" fillId="0" borderId="56" xfId="0" applyNumberFormat="1" applyBorder="1" applyAlignment="1">
      <alignment horizontal="center"/>
    </xf>
    <xf numFmtId="0" fontId="0" fillId="0" borderId="57" xfId="0" applyBorder="1" applyAlignment="1">
      <alignment horizontal="center" vertical="center"/>
    </xf>
    <xf numFmtId="0" fontId="1" fillId="0" borderId="9" xfId="0" applyFont="1" applyBorder="1"/>
    <xf numFmtId="0" fontId="1" fillId="0" borderId="10" xfId="0" applyFont="1" applyBorder="1"/>
    <xf numFmtId="0" fontId="0" fillId="0" borderId="5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1" fillId="0" borderId="0" xfId="0" applyFont="1"/>
    <xf numFmtId="0" fontId="0" fillId="4" borderId="17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8" xfId="0" applyBorder="1"/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2" xfId="0" applyFill="1" applyBorder="1"/>
    <xf numFmtId="0" fontId="0" fillId="0" borderId="12" xfId="0" applyBorder="1" applyAlignment="1">
      <alignment horizontal="center"/>
    </xf>
    <xf numFmtId="0" fontId="0" fillId="0" borderId="13" xfId="0" applyBorder="1"/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0" fillId="0" borderId="51" xfId="0" applyBorder="1" applyAlignment="1">
      <alignment vertical="center"/>
    </xf>
    <xf numFmtId="0" fontId="7" fillId="0" borderId="35" xfId="0" applyFont="1" applyBorder="1" applyAlignment="1">
      <alignment horizontal="center"/>
    </xf>
    <xf numFmtId="0" fontId="0" fillId="0" borderId="12" xfId="0" applyBorder="1" applyAlignment="1">
      <alignment vertical="center"/>
    </xf>
    <xf numFmtId="0" fontId="0" fillId="0" borderId="53" xfId="0" applyBorder="1" applyAlignment="1">
      <alignment vertical="center"/>
    </xf>
    <xf numFmtId="0" fontId="0" fillId="0" borderId="52" xfId="0" applyBorder="1" applyAlignment="1">
      <alignment vertical="center"/>
    </xf>
    <xf numFmtId="0" fontId="1" fillId="0" borderId="60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 wrapText="1"/>
    </xf>
    <xf numFmtId="0" fontId="1" fillId="0" borderId="61" xfId="0" applyFont="1" applyBorder="1" applyAlignment="1">
      <alignment horizontal="center" vertical="center"/>
    </xf>
    <xf numFmtId="0" fontId="1" fillId="0" borderId="12" xfId="0" applyFont="1" applyBorder="1"/>
    <xf numFmtId="0" fontId="1" fillId="0" borderId="12" xfId="0" applyFont="1" applyBorder="1" applyAlignment="1">
      <alignment horizontal="center" vertical="center" wrapText="1"/>
    </xf>
    <xf numFmtId="0" fontId="0" fillId="0" borderId="15" xfId="0" applyBorder="1" applyAlignment="1">
      <alignment vertical="center"/>
    </xf>
    <xf numFmtId="0" fontId="0" fillId="4" borderId="15" xfId="0" applyFill="1" applyBorder="1" applyAlignment="1">
      <alignment horizontal="center"/>
    </xf>
    <xf numFmtId="164" fontId="0" fillId="0" borderId="15" xfId="0" applyNumberFormat="1" applyBorder="1" applyAlignment="1">
      <alignment horizontal="center" vertical="center"/>
    </xf>
    <xf numFmtId="0" fontId="0" fillId="4" borderId="20" xfId="0" applyFill="1" applyBorder="1" applyAlignment="1">
      <alignment horizontal="center"/>
    </xf>
    <xf numFmtId="0" fontId="0" fillId="0" borderId="54" xfId="0" applyBorder="1" applyAlignment="1">
      <alignment horizontal="left"/>
    </xf>
    <xf numFmtId="0" fontId="0" fillId="0" borderId="55" xfId="0" applyBorder="1" applyAlignment="1">
      <alignment horizontal="left"/>
    </xf>
    <xf numFmtId="0" fontId="0" fillId="0" borderId="57" xfId="0" applyBorder="1" applyAlignment="1">
      <alignment horizontal="left"/>
    </xf>
    <xf numFmtId="0" fontId="1" fillId="0" borderId="20" xfId="0" applyFont="1" applyBorder="1"/>
    <xf numFmtId="0" fontId="0" fillId="0" borderId="8" xfId="0" applyBorder="1"/>
    <xf numFmtId="0" fontId="0" fillId="4" borderId="9" xfId="0" applyFill="1" applyBorder="1"/>
    <xf numFmtId="0" fontId="0" fillId="0" borderId="28" xfId="0" applyBorder="1"/>
    <xf numFmtId="0" fontId="0" fillId="0" borderId="11" xfId="0" applyBorder="1"/>
    <xf numFmtId="0" fontId="0" fillId="4" borderId="12" xfId="0" quotePrefix="1" applyFill="1" applyBorder="1"/>
    <xf numFmtId="0" fontId="0" fillId="0" borderId="35" xfId="0" applyBorder="1"/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6"/>
  <sheetViews>
    <sheetView topLeftCell="A4" workbookViewId="0">
      <selection activeCell="A15" sqref="A15"/>
    </sheetView>
  </sheetViews>
  <sheetFormatPr defaultRowHeight="15.6" x14ac:dyDescent="0.3"/>
  <cols>
    <col min="1" max="1" width="58.69921875" bestFit="1" customWidth="1"/>
    <col min="2" max="2" width="21.796875" bestFit="1" customWidth="1"/>
    <col min="3" max="3" width="20.296875" bestFit="1" customWidth="1"/>
    <col min="4" max="4" width="11.19921875" bestFit="1" customWidth="1"/>
    <col min="5" max="5" width="21.3984375" bestFit="1" customWidth="1"/>
    <col min="6" max="6" width="5.69921875" bestFit="1" customWidth="1"/>
    <col min="7" max="7" width="9.8984375" bestFit="1" customWidth="1"/>
    <col min="8" max="8" width="1.8984375" bestFit="1" customWidth="1"/>
    <col min="9" max="9" width="9.09765625" bestFit="1" customWidth="1"/>
    <col min="10" max="10" width="4.8984375" bestFit="1" customWidth="1"/>
  </cols>
  <sheetData>
    <row r="1" spans="1:6" x14ac:dyDescent="0.3">
      <c r="A1" t="s">
        <v>0</v>
      </c>
    </row>
    <row r="2" spans="1:6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2</v>
      </c>
    </row>
    <row r="3" spans="1:6" x14ac:dyDescent="0.3">
      <c r="A3" t="s">
        <v>6</v>
      </c>
      <c r="B3" t="s">
        <v>7</v>
      </c>
    </row>
    <row r="4" spans="1:6" x14ac:dyDescent="0.3">
      <c r="A4" t="s">
        <v>2</v>
      </c>
      <c r="B4" t="s">
        <v>8</v>
      </c>
    </row>
    <row r="5" spans="1:6" x14ac:dyDescent="0.3">
      <c r="A5" t="s">
        <v>9</v>
      </c>
      <c r="B5" t="s">
        <v>8</v>
      </c>
    </row>
    <row r="6" spans="1:6" x14ac:dyDescent="0.3">
      <c r="A6" t="s">
        <v>10</v>
      </c>
      <c r="B6" t="s">
        <v>8</v>
      </c>
    </row>
    <row r="7" spans="1:6" x14ac:dyDescent="0.3">
      <c r="A7" t="s">
        <v>11</v>
      </c>
      <c r="B7" t="s">
        <v>12</v>
      </c>
      <c r="C7" t="s">
        <v>13</v>
      </c>
    </row>
    <row r="9" spans="1:6" x14ac:dyDescent="0.3">
      <c r="A9" t="s">
        <v>14</v>
      </c>
    </row>
    <row r="10" spans="1:6" x14ac:dyDescent="0.3">
      <c r="A10" t="s">
        <v>15</v>
      </c>
      <c r="B10" t="s">
        <v>16</v>
      </c>
      <c r="C10" t="s">
        <v>17</v>
      </c>
      <c r="D10" t="s">
        <v>18</v>
      </c>
      <c r="E10" t="s">
        <v>19</v>
      </c>
    </row>
    <row r="11" spans="1:6" x14ac:dyDescent="0.3">
      <c r="A11" t="s">
        <v>20</v>
      </c>
      <c r="B11" t="s">
        <v>8</v>
      </c>
      <c r="C11" t="s">
        <v>8</v>
      </c>
      <c r="D11" t="s">
        <v>8</v>
      </c>
      <c r="E11" t="s">
        <v>8</v>
      </c>
    </row>
    <row r="12" spans="1:6" x14ac:dyDescent="0.3">
      <c r="A12" t="s">
        <v>4</v>
      </c>
      <c r="B12" t="s">
        <v>8</v>
      </c>
      <c r="C12" t="s">
        <v>8</v>
      </c>
      <c r="D12" t="s">
        <v>8</v>
      </c>
      <c r="E12" t="s">
        <v>8</v>
      </c>
    </row>
    <row r="13" spans="1:6" x14ac:dyDescent="0.3">
      <c r="A13" t="s">
        <v>2</v>
      </c>
      <c r="B13" t="s">
        <v>8</v>
      </c>
      <c r="C13" t="s">
        <v>8</v>
      </c>
      <c r="D13" t="s">
        <v>8</v>
      </c>
      <c r="E13" t="s">
        <v>8</v>
      </c>
    </row>
    <row r="14" spans="1:6" x14ac:dyDescent="0.3">
      <c r="A14" t="s">
        <v>21</v>
      </c>
      <c r="B14" t="s">
        <v>22</v>
      </c>
      <c r="C14" t="s">
        <v>23</v>
      </c>
      <c r="D14" t="s">
        <v>24</v>
      </c>
    </row>
    <row r="15" spans="1:6" x14ac:dyDescent="0.3">
      <c r="A15" t="s">
        <v>25</v>
      </c>
      <c r="B15" t="s">
        <v>8</v>
      </c>
      <c r="C15" t="s">
        <v>26</v>
      </c>
      <c r="D15" t="s">
        <v>4</v>
      </c>
    </row>
    <row r="17" spans="1:7" x14ac:dyDescent="0.3">
      <c r="A17" t="s">
        <v>27</v>
      </c>
    </row>
    <row r="18" spans="1:7" x14ac:dyDescent="0.3">
      <c r="A18" t="s">
        <v>28</v>
      </c>
      <c r="B18" t="s">
        <v>2</v>
      </c>
      <c r="C18" t="s">
        <v>29</v>
      </c>
      <c r="D18" t="s">
        <v>2</v>
      </c>
    </row>
    <row r="19" spans="1:7" x14ac:dyDescent="0.3">
      <c r="A19" t="s">
        <v>3</v>
      </c>
      <c r="B19" t="s">
        <v>5</v>
      </c>
      <c r="C19" t="s">
        <v>30</v>
      </c>
      <c r="D19" t="s">
        <v>31</v>
      </c>
      <c r="E19" t="s">
        <v>32</v>
      </c>
      <c r="F19" t="s">
        <v>33</v>
      </c>
      <c r="G19" t="s">
        <v>34</v>
      </c>
    </row>
    <row r="20" spans="1:7" x14ac:dyDescent="0.3">
      <c r="A20" t="s">
        <v>4</v>
      </c>
      <c r="B20" t="s">
        <v>2</v>
      </c>
      <c r="C20" t="s">
        <v>8</v>
      </c>
      <c r="D20" t="s">
        <v>8</v>
      </c>
      <c r="E20" t="s">
        <v>8</v>
      </c>
      <c r="F20" t="s">
        <v>8</v>
      </c>
      <c r="G20" t="s">
        <v>8</v>
      </c>
    </row>
    <row r="21" spans="1:7" x14ac:dyDescent="0.3">
      <c r="A21" t="s">
        <v>2</v>
      </c>
      <c r="B21" t="s">
        <v>2</v>
      </c>
      <c r="C21" t="s">
        <v>8</v>
      </c>
      <c r="D21" t="s">
        <v>8</v>
      </c>
      <c r="E21" t="s">
        <v>8</v>
      </c>
      <c r="F21" t="s">
        <v>8</v>
      </c>
      <c r="G21" t="s">
        <v>8</v>
      </c>
    </row>
    <row r="22" spans="1:7" x14ac:dyDescent="0.3">
      <c r="A22" t="s">
        <v>35</v>
      </c>
      <c r="B22" t="s">
        <v>36</v>
      </c>
    </row>
    <row r="24" spans="1:7" x14ac:dyDescent="0.3">
      <c r="A24" t="s">
        <v>37</v>
      </c>
    </row>
    <row r="25" spans="1:7" x14ac:dyDescent="0.3">
      <c r="A25" t="s">
        <v>38</v>
      </c>
      <c r="B25" t="s">
        <v>39</v>
      </c>
    </row>
    <row r="26" spans="1:7" x14ac:dyDescent="0.3">
      <c r="A26" t="s">
        <v>8</v>
      </c>
      <c r="B26" t="s">
        <v>8</v>
      </c>
    </row>
    <row r="28" spans="1:7" x14ac:dyDescent="0.3">
      <c r="A28" t="s">
        <v>40</v>
      </c>
    </row>
    <row r="29" spans="1:7" x14ac:dyDescent="0.3">
      <c r="A29" t="s">
        <v>41</v>
      </c>
    </row>
    <row r="30" spans="1:7" x14ac:dyDescent="0.3">
      <c r="A30" t="s">
        <v>8</v>
      </c>
    </row>
    <row r="32" spans="1:7" x14ac:dyDescent="0.3">
      <c r="A32" t="s">
        <v>42</v>
      </c>
    </row>
    <row r="33" spans="1:10" x14ac:dyDescent="0.3">
      <c r="A33" t="s">
        <v>43</v>
      </c>
      <c r="B33" t="s">
        <v>8</v>
      </c>
      <c r="C33" t="s">
        <v>44</v>
      </c>
      <c r="D33" t="s">
        <v>8</v>
      </c>
      <c r="E33" t="s">
        <v>45</v>
      </c>
      <c r="F33" t="s">
        <v>2</v>
      </c>
    </row>
    <row r="34" spans="1:10" x14ac:dyDescent="0.3">
      <c r="A34" t="s">
        <v>46</v>
      </c>
      <c r="B34" t="s">
        <v>47</v>
      </c>
      <c r="C34" t="s">
        <v>48</v>
      </c>
      <c r="D34" t="s">
        <v>49</v>
      </c>
    </row>
    <row r="35" spans="1:10" x14ac:dyDescent="0.3">
      <c r="A35" t="s">
        <v>2</v>
      </c>
      <c r="B35" t="s">
        <v>8</v>
      </c>
      <c r="C35" t="s">
        <v>8</v>
      </c>
      <c r="D35" t="s">
        <v>8</v>
      </c>
    </row>
    <row r="37" spans="1:10" x14ac:dyDescent="0.3">
      <c r="A37" t="s">
        <v>50</v>
      </c>
    </row>
    <row r="38" spans="1:10" x14ac:dyDescent="0.3">
      <c r="A38" t="s">
        <v>51</v>
      </c>
      <c r="B38" t="s">
        <v>2</v>
      </c>
      <c r="C38" t="s">
        <v>3</v>
      </c>
      <c r="D38" t="s">
        <v>4</v>
      </c>
      <c r="E38" t="s">
        <v>5</v>
      </c>
      <c r="F38" t="s">
        <v>2</v>
      </c>
      <c r="G38" t="s">
        <v>52</v>
      </c>
      <c r="H38" t="s">
        <v>53</v>
      </c>
      <c r="I38" t="s">
        <v>54</v>
      </c>
      <c r="J38" t="s">
        <v>55</v>
      </c>
    </row>
    <row r="39" spans="1:10" x14ac:dyDescent="0.3">
      <c r="A39" t="s">
        <v>56</v>
      </c>
      <c r="B39" t="s">
        <v>57</v>
      </c>
    </row>
    <row r="40" spans="1:10" x14ac:dyDescent="0.3">
      <c r="A40" t="s">
        <v>58</v>
      </c>
      <c r="B40" t="s">
        <v>59</v>
      </c>
      <c r="C40" t="s">
        <v>60</v>
      </c>
      <c r="D40" t="s">
        <v>61</v>
      </c>
      <c r="E40" t="s">
        <v>62</v>
      </c>
      <c r="F40" t="s">
        <v>63</v>
      </c>
    </row>
    <row r="41" spans="1:10" x14ac:dyDescent="0.3">
      <c r="A41" t="s">
        <v>64</v>
      </c>
      <c r="B41" t="s">
        <v>8</v>
      </c>
      <c r="C41" t="s">
        <v>8</v>
      </c>
      <c r="D41" t="s">
        <v>8</v>
      </c>
      <c r="E41" t="s">
        <v>8</v>
      </c>
      <c r="F41" t="s">
        <v>8</v>
      </c>
    </row>
    <row r="42" spans="1:10" x14ac:dyDescent="0.3">
      <c r="A42" t="s">
        <v>65</v>
      </c>
      <c r="B42" t="s">
        <v>8</v>
      </c>
      <c r="C42" t="s">
        <v>8</v>
      </c>
      <c r="D42" t="s">
        <v>8</v>
      </c>
      <c r="E42" t="s">
        <v>8</v>
      </c>
      <c r="F42" t="s">
        <v>8</v>
      </c>
    </row>
    <row r="44" spans="1:10" x14ac:dyDescent="0.3">
      <c r="A44" t="s">
        <v>66</v>
      </c>
    </row>
    <row r="45" spans="1:10" x14ac:dyDescent="0.3">
      <c r="A45" t="s">
        <v>51</v>
      </c>
      <c r="B45" t="s">
        <v>2</v>
      </c>
      <c r="C45" t="s">
        <v>3</v>
      </c>
      <c r="D45" t="s">
        <v>4</v>
      </c>
      <c r="E45" t="s">
        <v>29</v>
      </c>
      <c r="F45" t="s">
        <v>2</v>
      </c>
    </row>
    <row r="46" spans="1:10" x14ac:dyDescent="0.3">
      <c r="A46" t="s">
        <v>67</v>
      </c>
      <c r="B46" t="s">
        <v>30</v>
      </c>
      <c r="C46" t="s">
        <v>31</v>
      </c>
      <c r="D46" t="s">
        <v>32</v>
      </c>
    </row>
    <row r="47" spans="1:10" x14ac:dyDescent="0.3">
      <c r="A47" t="s">
        <v>68</v>
      </c>
      <c r="B47" t="s">
        <v>8</v>
      </c>
      <c r="C47" t="s">
        <v>8</v>
      </c>
      <c r="D47" t="s">
        <v>8</v>
      </c>
    </row>
    <row r="48" spans="1:10" x14ac:dyDescent="0.3">
      <c r="A48" t="s">
        <v>2</v>
      </c>
      <c r="B48" t="s">
        <v>8</v>
      </c>
      <c r="C48" t="s">
        <v>8</v>
      </c>
      <c r="D48" t="s">
        <v>8</v>
      </c>
    </row>
    <row r="49" spans="1:4" x14ac:dyDescent="0.3">
      <c r="A49" t="s">
        <v>69</v>
      </c>
      <c r="B49" t="s">
        <v>70</v>
      </c>
    </row>
    <row r="51" spans="1:4" x14ac:dyDescent="0.3">
      <c r="A51" t="s">
        <v>71</v>
      </c>
    </row>
    <row r="52" spans="1:4" x14ac:dyDescent="0.3">
      <c r="A52" t="s">
        <v>51</v>
      </c>
      <c r="B52" t="s">
        <v>2</v>
      </c>
      <c r="C52" t="s">
        <v>3</v>
      </c>
      <c r="D52" t="s">
        <v>4</v>
      </c>
    </row>
    <row r="53" spans="1:4" x14ac:dyDescent="0.3">
      <c r="A53" t="s">
        <v>72</v>
      </c>
      <c r="B53" t="s">
        <v>30</v>
      </c>
      <c r="C53" t="s">
        <v>31</v>
      </c>
      <c r="D53" t="s">
        <v>32</v>
      </c>
    </row>
    <row r="54" spans="1:4" x14ac:dyDescent="0.3">
      <c r="A54" t="s">
        <v>73</v>
      </c>
      <c r="B54" t="s">
        <v>8</v>
      </c>
      <c r="C54" t="s">
        <v>8</v>
      </c>
      <c r="D54" t="s">
        <v>8</v>
      </c>
    </row>
    <row r="55" spans="1:4" x14ac:dyDescent="0.3">
      <c r="A55" t="s">
        <v>74</v>
      </c>
      <c r="B55" t="s">
        <v>8</v>
      </c>
      <c r="C55" t="s">
        <v>8</v>
      </c>
      <c r="D55" t="s">
        <v>8</v>
      </c>
    </row>
    <row r="56" spans="1:4" x14ac:dyDescent="0.3">
      <c r="A56" t="s">
        <v>69</v>
      </c>
      <c r="B56" t="s">
        <v>70</v>
      </c>
    </row>
  </sheetData>
  <pageMargins left="0.7" right="0.7" top="0.75" bottom="0.75" header="0.3" footer="0.3"/>
  <ignoredErrors>
    <ignoredError sqref="A1:J5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DA637-C1A7-4EF3-822B-8B2DB036CBA2}">
  <dimension ref="A1:AA55"/>
  <sheetViews>
    <sheetView tabSelected="1" workbookViewId="0">
      <selection activeCell="J18" sqref="A1:XFD1048576"/>
    </sheetView>
  </sheetViews>
  <sheetFormatPr defaultColWidth="8" defaultRowHeight="15.6" x14ac:dyDescent="0.3"/>
  <cols>
    <col min="1" max="1" width="12.296875" customWidth="1"/>
    <col min="3" max="3" width="8.796875" customWidth="1"/>
    <col min="6" max="6" width="11" customWidth="1"/>
    <col min="7" max="7" width="12.59765625" customWidth="1"/>
    <col min="16" max="16" width="11.296875" customWidth="1"/>
    <col min="18" max="18" width="9.69921875" customWidth="1"/>
    <col min="22" max="23" width="8.19921875" hidden="1" customWidth="1"/>
    <col min="24" max="24" width="10.09765625" customWidth="1"/>
    <col min="25" max="25" width="10.3984375" customWidth="1"/>
  </cols>
  <sheetData>
    <row r="1" spans="1:27" ht="28.8" x14ac:dyDescent="0.3">
      <c r="A1" s="1" t="s">
        <v>75</v>
      </c>
      <c r="B1" s="2"/>
      <c r="C1" s="2"/>
      <c r="D1" s="2"/>
      <c r="E1" s="2"/>
      <c r="F1" s="2"/>
      <c r="G1" s="2"/>
      <c r="H1" s="2"/>
      <c r="I1" s="2"/>
      <c r="K1" s="3"/>
      <c r="L1" s="3"/>
      <c r="M1" s="3"/>
      <c r="N1" s="4"/>
      <c r="O1" s="4"/>
      <c r="P1" s="5"/>
    </row>
    <row r="2" spans="1:27" x14ac:dyDescent="0.3">
      <c r="A2" s="6" t="s">
        <v>76</v>
      </c>
      <c r="B2" s="2"/>
      <c r="C2" s="2"/>
      <c r="D2" s="2"/>
      <c r="E2" s="2"/>
      <c r="F2" s="2"/>
      <c r="G2" s="2"/>
      <c r="H2" s="2"/>
      <c r="I2" s="2"/>
      <c r="J2" s="7"/>
      <c r="K2" s="7"/>
      <c r="L2" s="7"/>
      <c r="M2" s="7"/>
    </row>
    <row r="3" spans="1:27" x14ac:dyDescent="0.3">
      <c r="A3" s="6"/>
      <c r="B3" s="2"/>
      <c r="C3" s="2"/>
      <c r="D3" s="2"/>
      <c r="E3" s="2"/>
      <c r="F3" s="2"/>
      <c r="G3" s="2"/>
      <c r="H3" s="2"/>
      <c r="I3" s="2"/>
      <c r="J3" s="7"/>
      <c r="K3" s="7"/>
      <c r="L3" s="7"/>
      <c r="M3" s="7"/>
    </row>
    <row r="4" spans="1:27" x14ac:dyDescent="0.3">
      <c r="A4" s="8" t="s">
        <v>77</v>
      </c>
      <c r="B4" s="2"/>
      <c r="C4" s="2"/>
      <c r="D4" s="2"/>
      <c r="E4" s="2"/>
      <c r="F4" s="2"/>
      <c r="G4" s="2"/>
      <c r="H4" s="2"/>
      <c r="I4" s="2"/>
    </row>
    <row r="5" spans="1:27" x14ac:dyDescent="0.3">
      <c r="A5" s="6" t="s">
        <v>78</v>
      </c>
      <c r="B5" s="2" t="s">
        <v>79</v>
      </c>
      <c r="C5" s="2"/>
      <c r="D5" s="2"/>
      <c r="E5" s="2"/>
      <c r="F5" s="6" t="s">
        <v>80</v>
      </c>
      <c r="G5" s="9"/>
      <c r="H5" s="9"/>
      <c r="I5" s="9"/>
    </row>
    <row r="6" spans="1:27" x14ac:dyDescent="0.3">
      <c r="A6" s="6" t="s">
        <v>81</v>
      </c>
      <c r="B6" s="2"/>
      <c r="C6" s="2"/>
      <c r="D6" s="2"/>
      <c r="E6" s="2"/>
      <c r="F6" s="6" t="s">
        <v>82</v>
      </c>
      <c r="G6" s="9"/>
      <c r="H6" s="9"/>
      <c r="I6" s="9"/>
    </row>
    <row r="7" spans="1:27" x14ac:dyDescent="0.3">
      <c r="A7" s="6" t="s">
        <v>83</v>
      </c>
      <c r="B7" s="2"/>
      <c r="C7" s="2"/>
      <c r="D7" s="2"/>
      <c r="E7" s="2"/>
      <c r="F7" s="6" t="s">
        <v>84</v>
      </c>
      <c r="G7" s="2" t="s">
        <v>85</v>
      </c>
      <c r="H7" s="2"/>
      <c r="I7" s="2"/>
    </row>
    <row r="8" spans="1:27" x14ac:dyDescent="0.3">
      <c r="A8" s="6" t="s">
        <v>86</v>
      </c>
      <c r="B8" s="2"/>
      <c r="C8" s="2"/>
      <c r="D8" s="2"/>
      <c r="E8" s="2"/>
      <c r="F8" s="6"/>
      <c r="G8" s="2"/>
      <c r="H8" s="2"/>
      <c r="I8" s="2"/>
    </row>
    <row r="9" spans="1:27" x14ac:dyDescent="0.3">
      <c r="A9" s="6"/>
      <c r="B9" s="10"/>
      <c r="C9" s="10"/>
      <c r="D9" s="10"/>
      <c r="E9" s="10"/>
      <c r="F9" s="8"/>
      <c r="G9" s="10"/>
      <c r="H9" s="10"/>
      <c r="I9" s="10"/>
      <c r="J9" s="11"/>
      <c r="K9" s="11"/>
      <c r="L9" s="11"/>
      <c r="M9" s="11"/>
    </row>
    <row r="10" spans="1:27" ht="16.2" thickBot="1" x14ac:dyDescent="0.35">
      <c r="A10" s="12" t="s">
        <v>87</v>
      </c>
      <c r="B10" s="13" t="s">
        <v>88</v>
      </c>
      <c r="C10" s="13"/>
      <c r="D10" s="13"/>
      <c r="E10" s="13"/>
      <c r="F10" s="13"/>
      <c r="G10" s="13"/>
      <c r="H10" s="13"/>
      <c r="I10" s="14"/>
    </row>
    <row r="11" spans="1:27" ht="16.2" thickBot="1" x14ac:dyDescent="0.35">
      <c r="A11" s="15" t="s">
        <v>3</v>
      </c>
      <c r="B11" s="15" t="s">
        <v>5</v>
      </c>
      <c r="C11" s="15" t="s">
        <v>89</v>
      </c>
      <c r="D11" s="15" t="s">
        <v>90</v>
      </c>
      <c r="E11" s="15" t="s">
        <v>91</v>
      </c>
      <c r="F11" s="15" t="s">
        <v>92</v>
      </c>
      <c r="G11" s="15" t="s">
        <v>93</v>
      </c>
      <c r="H11" s="15" t="s">
        <v>94</v>
      </c>
      <c r="I11" s="15" t="s">
        <v>95</v>
      </c>
      <c r="J11" s="15"/>
      <c r="K11" s="15"/>
      <c r="L11" s="15"/>
      <c r="M11" s="15"/>
    </row>
    <row r="12" spans="1:27" ht="16.2" thickBot="1" x14ac:dyDescent="0.35">
      <c r="A12" s="16">
        <v>50</v>
      </c>
      <c r="B12" s="16">
        <v>1</v>
      </c>
      <c r="C12" s="16"/>
      <c r="D12" s="17"/>
      <c r="E12" s="17"/>
      <c r="F12" s="17"/>
      <c r="G12" s="17"/>
      <c r="H12" s="17"/>
      <c r="I12" s="17"/>
      <c r="K12" s="18"/>
      <c r="L12" s="19">
        <f>ROUND(D12,2)</f>
        <v>0</v>
      </c>
      <c r="M12" s="18">
        <f>ROUND(F12,4)</f>
        <v>0</v>
      </c>
      <c r="P12" s="20" t="s">
        <v>96</v>
      </c>
      <c r="Q12" s="21"/>
      <c r="R12" s="21"/>
      <c r="S12" s="21"/>
      <c r="T12" s="21"/>
      <c r="U12" s="21"/>
      <c r="V12" s="21"/>
      <c r="W12" s="21"/>
      <c r="X12" s="22"/>
    </row>
    <row r="13" spans="1:27" x14ac:dyDescent="0.3">
      <c r="A13" s="16">
        <v>50</v>
      </c>
      <c r="B13" s="16">
        <v>2</v>
      </c>
      <c r="C13" s="16"/>
      <c r="D13" s="17"/>
      <c r="E13" s="17"/>
      <c r="F13" s="17"/>
      <c r="G13" s="17"/>
      <c r="H13" s="17"/>
      <c r="I13" s="17"/>
      <c r="K13" s="18"/>
      <c r="L13" s="19">
        <f t="shared" ref="L13:L35" si="0">ROUND(D13,2)</f>
        <v>0</v>
      </c>
      <c r="M13" s="18">
        <f t="shared" ref="M13:M35" si="1">ROUND(F13,4)</f>
        <v>0</v>
      </c>
      <c r="P13" s="23" t="s">
        <v>97</v>
      </c>
      <c r="Q13" s="24" t="s">
        <v>98</v>
      </c>
      <c r="R13" s="24"/>
      <c r="S13" s="24"/>
      <c r="T13" s="25" t="s">
        <v>99</v>
      </c>
      <c r="U13" s="25" t="s">
        <v>100</v>
      </c>
      <c r="V13" s="25"/>
      <c r="W13" s="26"/>
      <c r="X13" s="27" t="s">
        <v>101</v>
      </c>
    </row>
    <row r="14" spans="1:27" ht="16.2" thickBot="1" x14ac:dyDescent="0.35">
      <c r="A14" s="16">
        <v>50</v>
      </c>
      <c r="B14" s="16">
        <v>2</v>
      </c>
      <c r="C14" s="16"/>
      <c r="D14" s="17"/>
      <c r="E14" s="17"/>
      <c r="F14" s="17"/>
      <c r="G14" s="17"/>
      <c r="H14" s="17"/>
      <c r="I14" s="17"/>
      <c r="K14" s="18"/>
      <c r="L14" s="19">
        <f t="shared" si="0"/>
        <v>0</v>
      </c>
      <c r="M14" s="18">
        <f t="shared" si="1"/>
        <v>0</v>
      </c>
      <c r="P14" s="28"/>
      <c r="Q14" s="29">
        <v>1</v>
      </c>
      <c r="R14" s="29">
        <v>2</v>
      </c>
      <c r="S14" s="29">
        <v>4</v>
      </c>
      <c r="T14" s="30"/>
      <c r="U14" s="30"/>
      <c r="V14" s="30"/>
      <c r="W14" s="31"/>
      <c r="X14" s="32"/>
    </row>
    <row r="15" spans="1:27" x14ac:dyDescent="0.3">
      <c r="A15" s="16">
        <v>50</v>
      </c>
      <c r="B15" s="16">
        <v>2</v>
      </c>
      <c r="C15" s="17"/>
      <c r="D15" s="17"/>
      <c r="E15" s="17"/>
      <c r="F15" s="17"/>
      <c r="G15" s="17"/>
      <c r="H15" s="17"/>
      <c r="I15" s="17"/>
      <c r="K15" s="18"/>
      <c r="L15" s="19">
        <f t="shared" si="0"/>
        <v>0</v>
      </c>
      <c r="M15" s="18">
        <f t="shared" si="1"/>
        <v>0</v>
      </c>
      <c r="P15" s="33">
        <f>A12</f>
        <v>50</v>
      </c>
      <c r="Q15" s="34">
        <f>L12</f>
        <v>0</v>
      </c>
      <c r="R15" s="34">
        <f>L13</f>
        <v>0</v>
      </c>
      <c r="S15" s="34">
        <f>L18</f>
        <v>0</v>
      </c>
      <c r="T15" s="35">
        <f>ROUND(AVERAGE(Q15:S15),2)</f>
        <v>0</v>
      </c>
      <c r="U15" s="36" t="str">
        <f>IF(X15&lt;5,"Pass", "Fail")</f>
        <v>Fail</v>
      </c>
      <c r="V15" s="37"/>
      <c r="W15" s="37"/>
      <c r="X15" s="38">
        <f>ABS(P15-T15)</f>
        <v>50</v>
      </c>
      <c r="Y15" s="39" t="s">
        <v>102</v>
      </c>
      <c r="Z15" s="40"/>
      <c r="AA15" s="40"/>
    </row>
    <row r="16" spans="1:27" x14ac:dyDescent="0.3">
      <c r="A16" s="16">
        <v>50</v>
      </c>
      <c r="B16" s="16">
        <v>2</v>
      </c>
      <c r="C16" s="17"/>
      <c r="D16" s="17"/>
      <c r="E16" s="17"/>
      <c r="F16" s="17"/>
      <c r="G16" s="17"/>
      <c r="H16" s="17"/>
      <c r="I16" s="17"/>
      <c r="K16" s="18"/>
      <c r="L16" s="19">
        <f t="shared" si="0"/>
        <v>0</v>
      </c>
      <c r="M16" s="18">
        <f t="shared" si="1"/>
        <v>0</v>
      </c>
      <c r="P16" s="41">
        <f>A19</f>
        <v>70</v>
      </c>
      <c r="Q16" s="42">
        <f>L19</f>
        <v>0</v>
      </c>
      <c r="R16" s="42">
        <f>L22</f>
        <v>0</v>
      </c>
      <c r="S16" s="42">
        <f>L25</f>
        <v>0</v>
      </c>
      <c r="T16" s="43">
        <f t="shared" ref="T16:T18" si="2">ROUND(AVERAGE(Q16:S16),2)</f>
        <v>0</v>
      </c>
      <c r="U16" s="44" t="str">
        <f t="shared" ref="U16:U18" si="3">IF(X16&lt;5,"Pass", "Fail")</f>
        <v>Fail</v>
      </c>
      <c r="V16" s="8"/>
      <c r="W16" s="8"/>
      <c r="X16" s="45">
        <f t="shared" ref="X16:X18" si="4">ABS(P16-T16)</f>
        <v>70</v>
      </c>
    </row>
    <row r="17" spans="1:25" x14ac:dyDescent="0.3">
      <c r="A17" s="16">
        <v>50</v>
      </c>
      <c r="B17" s="16">
        <v>2</v>
      </c>
      <c r="C17" s="17"/>
      <c r="D17" s="17"/>
      <c r="E17" s="17"/>
      <c r="F17" s="17"/>
      <c r="G17" s="17"/>
      <c r="H17" s="17"/>
      <c r="I17" s="17"/>
      <c r="K17" s="18"/>
      <c r="L17" s="19">
        <f t="shared" si="0"/>
        <v>0</v>
      </c>
      <c r="M17" s="18">
        <f t="shared" si="1"/>
        <v>0</v>
      </c>
      <c r="P17" s="41">
        <f>A30</f>
        <v>90</v>
      </c>
      <c r="Q17" s="42">
        <f>L30</f>
        <v>0</v>
      </c>
      <c r="R17" s="42">
        <f>L31</f>
        <v>0</v>
      </c>
      <c r="S17" s="42">
        <f>L32</f>
        <v>0</v>
      </c>
      <c r="T17" s="43">
        <f t="shared" si="2"/>
        <v>0</v>
      </c>
      <c r="U17" s="44" t="str">
        <f t="shared" si="3"/>
        <v>Fail</v>
      </c>
      <c r="V17" s="8"/>
      <c r="W17" s="8"/>
      <c r="X17" s="45">
        <f t="shared" si="4"/>
        <v>90</v>
      </c>
    </row>
    <row r="18" spans="1:25" ht="16.2" thickBot="1" x14ac:dyDescent="0.35">
      <c r="A18" s="16">
        <v>50</v>
      </c>
      <c r="B18" s="16">
        <v>4</v>
      </c>
      <c r="C18" s="17"/>
      <c r="D18" s="17"/>
      <c r="E18" s="17"/>
      <c r="F18" s="17"/>
      <c r="G18" s="17"/>
      <c r="H18" s="17"/>
      <c r="I18" s="17"/>
      <c r="K18" s="18"/>
      <c r="L18" s="19">
        <f t="shared" si="0"/>
        <v>0</v>
      </c>
      <c r="M18" s="18">
        <f t="shared" si="1"/>
        <v>0</v>
      </c>
      <c r="P18" s="46">
        <f>A33</f>
        <v>110</v>
      </c>
      <c r="Q18" s="47">
        <f>L33</f>
        <v>0</v>
      </c>
      <c r="R18" s="47">
        <f>L34</f>
        <v>0</v>
      </c>
      <c r="S18" s="47">
        <f>L35</f>
        <v>0</v>
      </c>
      <c r="T18" s="48">
        <f t="shared" si="2"/>
        <v>0</v>
      </c>
      <c r="U18" s="49" t="str">
        <f t="shared" si="3"/>
        <v>Fail</v>
      </c>
      <c r="V18" s="50"/>
      <c r="W18" s="50"/>
      <c r="X18" s="51">
        <f t="shared" si="4"/>
        <v>110</v>
      </c>
    </row>
    <row r="19" spans="1:25" ht="16.2" thickBot="1" x14ac:dyDescent="0.35">
      <c r="A19" s="16">
        <v>70</v>
      </c>
      <c r="B19" s="16">
        <v>1</v>
      </c>
      <c r="C19" s="17"/>
      <c r="D19" s="17"/>
      <c r="E19" s="17"/>
      <c r="F19" s="17"/>
      <c r="G19" s="17"/>
      <c r="H19" s="17"/>
      <c r="I19" s="17"/>
      <c r="K19" s="18"/>
      <c r="L19" s="19">
        <f t="shared" si="0"/>
        <v>0</v>
      </c>
      <c r="M19" s="18">
        <f t="shared" si="1"/>
        <v>0</v>
      </c>
      <c r="P19" s="52" t="s">
        <v>103</v>
      </c>
      <c r="Q19" s="53"/>
      <c r="R19" s="53"/>
      <c r="S19" s="53"/>
      <c r="T19" s="53"/>
      <c r="U19" s="53"/>
      <c r="V19" s="53"/>
      <c r="W19" s="53"/>
      <c r="X19" s="54"/>
    </row>
    <row r="20" spans="1:25" ht="16.2" thickBot="1" x14ac:dyDescent="0.35">
      <c r="A20" s="16">
        <v>70</v>
      </c>
      <c r="B20" s="16">
        <v>1</v>
      </c>
      <c r="C20" s="17"/>
      <c r="D20" s="17"/>
      <c r="E20" s="17"/>
      <c r="F20" s="17"/>
      <c r="G20" s="17"/>
      <c r="H20" s="17"/>
      <c r="I20" s="17"/>
      <c r="K20" s="18"/>
      <c r="L20" s="19">
        <f t="shared" si="0"/>
        <v>0</v>
      </c>
      <c r="M20" s="18">
        <f t="shared" si="1"/>
        <v>0</v>
      </c>
      <c r="P20" s="55" t="s">
        <v>104</v>
      </c>
      <c r="Q20" s="56"/>
      <c r="R20" s="56"/>
      <c r="S20" s="56"/>
      <c r="T20" s="56"/>
      <c r="U20" s="56"/>
      <c r="V20" s="56"/>
      <c r="W20" s="56"/>
      <c r="X20" s="57"/>
    </row>
    <row r="21" spans="1:25" x14ac:dyDescent="0.3">
      <c r="A21" s="16">
        <v>70</v>
      </c>
      <c r="B21" s="16">
        <v>1</v>
      </c>
      <c r="C21" s="17"/>
      <c r="D21" s="17"/>
      <c r="E21" s="17"/>
      <c r="F21" s="17"/>
      <c r="G21" s="17"/>
      <c r="H21" s="17"/>
      <c r="I21" s="17"/>
      <c r="K21" s="18"/>
      <c r="L21" s="19">
        <f t="shared" si="0"/>
        <v>0</v>
      </c>
      <c r="M21" s="18">
        <f t="shared" si="1"/>
        <v>0</v>
      </c>
      <c r="P21" s="58"/>
      <c r="Q21" s="59"/>
      <c r="R21" s="60"/>
      <c r="S21" s="61" t="s">
        <v>97</v>
      </c>
      <c r="T21" s="61">
        <f>A19</f>
        <v>70</v>
      </c>
      <c r="U21" s="61" t="s">
        <v>89</v>
      </c>
      <c r="V21" s="61"/>
      <c r="W21" s="61"/>
      <c r="X21" s="62">
        <f>E12/1000</f>
        <v>0</v>
      </c>
    </row>
    <row r="22" spans="1:25" ht="16.2" thickBot="1" x14ac:dyDescent="0.35">
      <c r="A22" s="16">
        <v>70</v>
      </c>
      <c r="B22" s="16">
        <v>2</v>
      </c>
      <c r="C22" s="17"/>
      <c r="D22" s="17"/>
      <c r="E22" s="17"/>
      <c r="F22" s="17"/>
      <c r="G22" s="17"/>
      <c r="H22" s="17"/>
      <c r="I22" s="17"/>
      <c r="K22" s="18"/>
      <c r="L22" s="19">
        <f t="shared" si="0"/>
        <v>0</v>
      </c>
      <c r="M22" s="18">
        <f t="shared" si="1"/>
        <v>0</v>
      </c>
      <c r="P22" s="46" t="s">
        <v>105</v>
      </c>
      <c r="Q22" s="63" t="s">
        <v>106</v>
      </c>
      <c r="R22" s="63"/>
      <c r="S22" s="63"/>
      <c r="T22" s="49" t="s">
        <v>107</v>
      </c>
      <c r="U22" s="49" t="s">
        <v>108</v>
      </c>
      <c r="V22" s="50"/>
      <c r="W22" s="50"/>
      <c r="X22" s="64" t="s">
        <v>100</v>
      </c>
    </row>
    <row r="23" spans="1:25" x14ac:dyDescent="0.3">
      <c r="A23" s="16">
        <v>70</v>
      </c>
      <c r="B23" s="16">
        <v>2</v>
      </c>
      <c r="C23" s="17"/>
      <c r="D23" s="17"/>
      <c r="E23" s="17"/>
      <c r="F23" s="17"/>
      <c r="G23" s="17"/>
      <c r="H23" s="17"/>
      <c r="I23" s="17"/>
      <c r="K23" s="18"/>
      <c r="L23" s="19">
        <f t="shared" si="0"/>
        <v>0</v>
      </c>
      <c r="M23" s="18">
        <f t="shared" si="1"/>
        <v>0</v>
      </c>
      <c r="P23" s="65">
        <f>B19</f>
        <v>1</v>
      </c>
      <c r="Q23" s="66">
        <f>M19</f>
        <v>0</v>
      </c>
      <c r="R23" s="66">
        <f>M20</f>
        <v>0</v>
      </c>
      <c r="S23" s="66">
        <f>M21</f>
        <v>0</v>
      </c>
      <c r="T23" s="67">
        <f>ROUND((AVERAGE(Q23:S23)/P23),4)</f>
        <v>0</v>
      </c>
      <c r="U23" s="68" t="e">
        <f>ROUND((MAX(T23:T26)-MIN(T23:T26))/(MAX(T23:T26)+MIN(T23:T26)),4)</f>
        <v>#DIV/0!</v>
      </c>
      <c r="V23" s="69"/>
      <c r="W23" s="26"/>
      <c r="X23" s="70" t="e">
        <f>IF(U23&lt;0.1,"Pass","Fail")</f>
        <v>#DIV/0!</v>
      </c>
    </row>
    <row r="24" spans="1:25" x14ac:dyDescent="0.3">
      <c r="A24" s="16">
        <v>70</v>
      </c>
      <c r="B24" s="16">
        <v>2</v>
      </c>
      <c r="C24" s="17"/>
      <c r="D24" s="17"/>
      <c r="E24" s="17"/>
      <c r="F24" s="17"/>
      <c r="G24" s="17"/>
      <c r="H24" s="17"/>
      <c r="I24" s="17"/>
      <c r="K24" s="18"/>
      <c r="L24" s="19">
        <f t="shared" si="0"/>
        <v>0</v>
      </c>
      <c r="M24" s="18">
        <f t="shared" si="1"/>
        <v>0</v>
      </c>
      <c r="P24" s="41">
        <f>B22</f>
        <v>2</v>
      </c>
      <c r="Q24" s="71">
        <f>M22</f>
        <v>0</v>
      </c>
      <c r="R24" s="71">
        <f>F23</f>
        <v>0</v>
      </c>
      <c r="S24" s="71">
        <f>M24</f>
        <v>0</v>
      </c>
      <c r="T24" s="72">
        <f t="shared" ref="T24:T25" si="5">ROUND((AVERAGE(Q24:S24)/P24),4)</f>
        <v>0</v>
      </c>
      <c r="U24" s="73"/>
      <c r="V24" s="74"/>
      <c r="W24" s="8"/>
      <c r="X24" s="75"/>
    </row>
    <row r="25" spans="1:25" ht="16.2" thickBot="1" x14ac:dyDescent="0.35">
      <c r="A25" s="16">
        <v>70</v>
      </c>
      <c r="B25" s="16">
        <v>4</v>
      </c>
      <c r="C25" s="17"/>
      <c r="D25" s="17"/>
      <c r="E25" s="17"/>
      <c r="F25" s="17"/>
      <c r="G25" s="17"/>
      <c r="H25" s="17"/>
      <c r="I25" s="17"/>
      <c r="K25" s="18"/>
      <c r="L25" s="19">
        <f t="shared" si="0"/>
        <v>0</v>
      </c>
      <c r="M25" s="18">
        <f t="shared" si="1"/>
        <v>0</v>
      </c>
      <c r="P25" s="76">
        <f>B25</f>
        <v>4</v>
      </c>
      <c r="Q25" s="77">
        <f>M25</f>
        <v>0</v>
      </c>
      <c r="R25" s="77">
        <f>M26</f>
        <v>0</v>
      </c>
      <c r="S25" s="77">
        <f>M27</f>
        <v>0</v>
      </c>
      <c r="T25" s="78">
        <f t="shared" si="5"/>
        <v>0</v>
      </c>
      <c r="U25" s="79"/>
      <c r="V25" s="80"/>
      <c r="W25" s="31"/>
      <c r="X25" s="81"/>
    </row>
    <row r="26" spans="1:25" ht="16.2" thickBot="1" x14ac:dyDescent="0.35">
      <c r="A26" s="16">
        <v>70</v>
      </c>
      <c r="B26" s="16">
        <v>4</v>
      </c>
      <c r="C26" s="17"/>
      <c r="D26" s="17"/>
      <c r="E26" s="17"/>
      <c r="F26" s="17"/>
      <c r="G26" s="17"/>
      <c r="H26" s="17"/>
      <c r="I26" s="17"/>
      <c r="K26" s="18"/>
      <c r="L26" s="19">
        <f t="shared" si="0"/>
        <v>0</v>
      </c>
      <c r="M26" s="18">
        <f t="shared" si="1"/>
        <v>0</v>
      </c>
      <c r="P26" s="82" t="s">
        <v>109</v>
      </c>
      <c r="Q26" s="83"/>
      <c r="R26" s="83"/>
      <c r="S26" s="83"/>
      <c r="T26" s="83"/>
      <c r="U26" s="83"/>
      <c r="V26" s="83"/>
      <c r="W26" s="83"/>
      <c r="X26" s="84"/>
    </row>
    <row r="27" spans="1:25" ht="16.2" thickBot="1" x14ac:dyDescent="0.35">
      <c r="A27" s="16">
        <v>70</v>
      </c>
      <c r="B27" s="16">
        <v>4</v>
      </c>
      <c r="C27" s="17"/>
      <c r="D27" s="17"/>
      <c r="E27" s="17"/>
      <c r="F27" s="17"/>
      <c r="G27" s="17"/>
      <c r="H27" s="17"/>
      <c r="I27" s="17"/>
      <c r="K27" s="18"/>
      <c r="L27" s="19">
        <f t="shared" si="0"/>
        <v>0</v>
      </c>
      <c r="M27" s="18">
        <f t="shared" si="1"/>
        <v>0</v>
      </c>
      <c r="P27" s="85"/>
      <c r="Q27" s="85"/>
      <c r="R27" s="85"/>
      <c r="S27" s="85"/>
      <c r="T27" s="85"/>
      <c r="U27" s="85"/>
      <c r="V27" s="85"/>
      <c r="W27" s="85"/>
      <c r="X27" s="85"/>
    </row>
    <row r="28" spans="1:25" ht="16.2" thickBot="1" x14ac:dyDescent="0.35">
      <c r="A28" s="16">
        <v>70</v>
      </c>
      <c r="B28" s="16">
        <v>4</v>
      </c>
      <c r="C28" s="17"/>
      <c r="D28" s="17"/>
      <c r="E28" s="17"/>
      <c r="F28" s="17"/>
      <c r="G28" s="17"/>
      <c r="H28" s="17"/>
      <c r="I28" s="17"/>
      <c r="K28" s="18"/>
      <c r="L28" s="19">
        <f t="shared" si="0"/>
        <v>0</v>
      </c>
      <c r="M28" s="18">
        <f t="shared" si="1"/>
        <v>0</v>
      </c>
      <c r="O28" s="86" t="s">
        <v>110</v>
      </c>
      <c r="P28" s="87"/>
      <c r="Q28" s="87"/>
      <c r="R28" s="87"/>
      <c r="S28" s="87"/>
      <c r="T28" s="87"/>
      <c r="U28" s="87"/>
      <c r="V28" s="87"/>
      <c r="W28" s="87"/>
      <c r="X28" s="87"/>
      <c r="Y28" s="88"/>
    </row>
    <row r="29" spans="1:25" x14ac:dyDescent="0.3">
      <c r="A29" s="16">
        <v>70</v>
      </c>
      <c r="B29" s="16">
        <v>4</v>
      </c>
      <c r="C29" s="17"/>
      <c r="D29" s="17"/>
      <c r="E29" s="17"/>
      <c r="F29" s="17"/>
      <c r="G29" s="17"/>
      <c r="H29" s="17"/>
      <c r="I29" s="17"/>
      <c r="K29" s="18"/>
      <c r="L29" s="19">
        <f t="shared" si="0"/>
        <v>0</v>
      </c>
      <c r="M29" s="18">
        <f t="shared" si="1"/>
        <v>0</v>
      </c>
      <c r="O29" s="89" t="s">
        <v>97</v>
      </c>
      <c r="P29" s="90" t="s">
        <v>105</v>
      </c>
      <c r="Q29" s="91" t="s">
        <v>106</v>
      </c>
      <c r="R29" s="92"/>
      <c r="S29" s="92"/>
      <c r="T29" s="92"/>
      <c r="U29" s="93"/>
      <c r="V29" s="94" t="s">
        <v>111</v>
      </c>
      <c r="W29" s="94" t="s">
        <v>112</v>
      </c>
      <c r="X29" s="95" t="s">
        <v>113</v>
      </c>
      <c r="Y29" s="70" t="s">
        <v>100</v>
      </c>
    </row>
    <row r="30" spans="1:25" x14ac:dyDescent="0.3">
      <c r="A30" s="16">
        <v>90</v>
      </c>
      <c r="B30" s="16">
        <v>1</v>
      </c>
      <c r="C30" s="17"/>
      <c r="D30" s="17"/>
      <c r="E30" s="17"/>
      <c r="F30" s="17"/>
      <c r="G30" s="17"/>
      <c r="H30" s="17"/>
      <c r="I30" s="17"/>
      <c r="K30" s="18"/>
      <c r="L30" s="19">
        <f t="shared" si="0"/>
        <v>0</v>
      </c>
      <c r="M30" s="18">
        <f t="shared" si="1"/>
        <v>0</v>
      </c>
      <c r="O30" s="96"/>
      <c r="P30" s="97"/>
      <c r="Q30" s="98"/>
      <c r="R30" s="99"/>
      <c r="S30" s="99"/>
      <c r="T30" s="99"/>
      <c r="U30" s="100"/>
      <c r="V30" s="44"/>
      <c r="W30" s="44"/>
      <c r="X30" s="101"/>
      <c r="Y30" s="75"/>
    </row>
    <row r="31" spans="1:25" ht="16.2" thickBot="1" x14ac:dyDescent="0.35">
      <c r="A31" s="16">
        <v>90</v>
      </c>
      <c r="B31" s="16">
        <v>2</v>
      </c>
      <c r="C31" s="17"/>
      <c r="D31" s="17"/>
      <c r="E31" s="17"/>
      <c r="F31" s="17"/>
      <c r="G31" s="17"/>
      <c r="H31" s="17"/>
      <c r="I31" s="17"/>
      <c r="K31" s="18"/>
      <c r="L31" s="19">
        <f t="shared" si="0"/>
        <v>0</v>
      </c>
      <c r="M31" s="18">
        <f t="shared" si="1"/>
        <v>0</v>
      </c>
      <c r="O31" s="102"/>
      <c r="P31" s="103"/>
      <c r="Q31" s="104"/>
      <c r="R31" s="105"/>
      <c r="S31" s="105"/>
      <c r="T31" s="105"/>
      <c r="U31" s="106"/>
      <c r="V31" s="107"/>
      <c r="W31" s="108"/>
      <c r="X31" s="109"/>
      <c r="Y31" s="81"/>
    </row>
    <row r="32" spans="1:25" x14ac:dyDescent="0.3">
      <c r="A32" s="16">
        <v>90</v>
      </c>
      <c r="B32" s="16">
        <v>4</v>
      </c>
      <c r="C32" s="17"/>
      <c r="D32" s="17"/>
      <c r="E32" s="17"/>
      <c r="F32" s="17"/>
      <c r="G32" s="17"/>
      <c r="H32" s="17"/>
      <c r="I32" s="17"/>
      <c r="K32" s="18"/>
      <c r="L32" s="19">
        <f t="shared" si="0"/>
        <v>0</v>
      </c>
      <c r="M32" s="18">
        <f t="shared" si="1"/>
        <v>0</v>
      </c>
      <c r="O32" s="110">
        <f>A13</f>
        <v>50</v>
      </c>
      <c r="P32" s="69">
        <f>B13</f>
        <v>2</v>
      </c>
      <c r="Q32" s="111">
        <f>M13</f>
        <v>0</v>
      </c>
      <c r="R32" s="111">
        <f>M14</f>
        <v>0</v>
      </c>
      <c r="S32" s="111">
        <f>M15</f>
        <v>0</v>
      </c>
      <c r="T32" s="111">
        <f>M16</f>
        <v>0</v>
      </c>
      <c r="U32" s="112">
        <f>M17</f>
        <v>0</v>
      </c>
      <c r="V32" s="113">
        <f t="shared" ref="V32:V33" si="6">(Q32+R32+S32+T32+U32)/5</f>
        <v>0</v>
      </c>
      <c r="W32" s="114">
        <f t="shared" ref="W32:W33" si="7">IF(V32&lt;&gt;"",STDEV(Q32:U32),"")</f>
        <v>0</v>
      </c>
      <c r="X32" s="113" t="e">
        <f>ROUND(IF(W32&lt;&gt;"",PRODUCT(W32,POWER(V32,-1)),""),4)</f>
        <v>#DIV/0!</v>
      </c>
      <c r="Y32" s="115" t="e">
        <f>IF(X32&lt;0.05,"Pass","Fail")</f>
        <v>#DIV/0!</v>
      </c>
    </row>
    <row r="33" spans="1:25" ht="16.2" thickBot="1" x14ac:dyDescent="0.35">
      <c r="A33" s="16">
        <v>110</v>
      </c>
      <c r="B33" s="16">
        <v>1</v>
      </c>
      <c r="C33" s="17"/>
      <c r="D33" s="17"/>
      <c r="E33" s="17"/>
      <c r="F33" s="17"/>
      <c r="G33" s="17"/>
      <c r="H33" s="17"/>
      <c r="I33" s="17"/>
      <c r="K33" s="18"/>
      <c r="L33" s="19">
        <f t="shared" si="0"/>
        <v>0</v>
      </c>
      <c r="M33" s="18">
        <f t="shared" si="1"/>
        <v>0</v>
      </c>
      <c r="O33" s="116">
        <f>A25</f>
        <v>70</v>
      </c>
      <c r="P33" s="80">
        <f>B25</f>
        <v>4</v>
      </c>
      <c r="Q33" s="117">
        <f>M25</f>
        <v>0</v>
      </c>
      <c r="R33" s="117">
        <f>M26</f>
        <v>0</v>
      </c>
      <c r="S33" s="117">
        <f>M27</f>
        <v>0</v>
      </c>
      <c r="T33" s="117">
        <f>M28</f>
        <v>0</v>
      </c>
      <c r="U33" s="118">
        <f>M29</f>
        <v>0</v>
      </c>
      <c r="V33" s="107">
        <f t="shared" si="6"/>
        <v>0</v>
      </c>
      <c r="W33" s="119">
        <f t="shared" si="7"/>
        <v>0</v>
      </c>
      <c r="X33" s="107" t="e">
        <f>ROUND(IF(W33&lt;&gt;"",PRODUCT(W33,POWER(V33,-1)),""),4)</f>
        <v>#DIV/0!</v>
      </c>
      <c r="Y33" s="120" t="e">
        <f>IF(X33&lt;0.05,"Pass","Fail")</f>
        <v>#DIV/0!</v>
      </c>
    </row>
    <row r="34" spans="1:25" x14ac:dyDescent="0.3">
      <c r="A34" s="16">
        <v>110</v>
      </c>
      <c r="B34" s="16">
        <v>2</v>
      </c>
      <c r="C34" s="17"/>
      <c r="D34" s="17"/>
      <c r="E34" s="17"/>
      <c r="F34" s="17"/>
      <c r="G34" s="17"/>
      <c r="H34" s="17"/>
      <c r="I34" s="17"/>
      <c r="K34" s="18"/>
      <c r="L34" s="19">
        <f t="shared" si="0"/>
        <v>0</v>
      </c>
      <c r="M34" s="18">
        <f t="shared" si="1"/>
        <v>0</v>
      </c>
      <c r="O34" s="121"/>
      <c r="P34" s="58"/>
      <c r="Q34" s="59"/>
      <c r="R34" s="59"/>
      <c r="S34" s="59"/>
      <c r="T34" s="59"/>
      <c r="U34" s="59"/>
      <c r="V34" s="59"/>
      <c r="W34" s="59"/>
      <c r="X34" s="59"/>
      <c r="Y34" s="122"/>
    </row>
    <row r="35" spans="1:25" ht="16.2" thickBot="1" x14ac:dyDescent="0.35">
      <c r="A35" s="16">
        <v>110</v>
      </c>
      <c r="B35" s="16">
        <v>4</v>
      </c>
      <c r="C35" s="17"/>
      <c r="D35" s="17"/>
      <c r="E35" s="17"/>
      <c r="F35" s="17"/>
      <c r="G35" s="17"/>
      <c r="H35" s="17"/>
      <c r="I35" s="17"/>
      <c r="K35" s="18"/>
      <c r="L35" s="19">
        <f t="shared" si="0"/>
        <v>0</v>
      </c>
      <c r="M35" s="18">
        <f t="shared" si="1"/>
        <v>0</v>
      </c>
      <c r="O35" s="123"/>
      <c r="P35" s="124" t="s">
        <v>114</v>
      </c>
      <c r="Q35" s="124"/>
      <c r="R35" s="124"/>
      <c r="S35" s="124"/>
      <c r="T35" s="124"/>
      <c r="U35" s="124"/>
      <c r="V35" s="124"/>
      <c r="W35" s="124"/>
      <c r="X35" s="124"/>
      <c r="Y35" s="125"/>
    </row>
    <row r="36" spans="1:25" ht="16.2" thickBot="1" x14ac:dyDescent="0.35">
      <c r="A36" s="126"/>
      <c r="B36" s="126"/>
      <c r="K36" s="18"/>
      <c r="L36" s="18"/>
      <c r="M36" s="18"/>
      <c r="O36" s="18"/>
    </row>
    <row r="37" spans="1:25" ht="16.2" thickBot="1" x14ac:dyDescent="0.35">
      <c r="A37" s="126"/>
      <c r="B37" s="126"/>
      <c r="O37" s="18"/>
      <c r="P37" s="20" t="s">
        <v>115</v>
      </c>
      <c r="Q37" s="127"/>
      <c r="R37" s="128" t="s">
        <v>116</v>
      </c>
      <c r="S37" s="129" t="s">
        <v>100</v>
      </c>
    </row>
    <row r="38" spans="1:25" ht="16.2" thickBot="1" x14ac:dyDescent="0.35">
      <c r="A38" s="130" t="s">
        <v>117</v>
      </c>
      <c r="B38" s="130"/>
      <c r="C38" s="130"/>
      <c r="O38" s="18"/>
      <c r="P38" s="131" t="s">
        <v>97</v>
      </c>
      <c r="Q38" s="132">
        <f>A33</f>
        <v>110</v>
      </c>
      <c r="R38" s="133">
        <f>ROUND(I33,2)</f>
        <v>0</v>
      </c>
      <c r="S38" s="134" t="str">
        <f>IF(AND(Q38&lt;=70,R38&gt;=1.5),"Pass",IF(AND(Q38&lt;=100,R38&gt;=2),"Pass",IF(AND(Q38&gt;100,R38&gt;=2.5),"Pass","Fail")))</f>
        <v>Fail</v>
      </c>
    </row>
    <row r="39" spans="1:25" x14ac:dyDescent="0.3">
      <c r="A39" s="65" t="s">
        <v>3</v>
      </c>
      <c r="B39" s="61" t="s">
        <v>5</v>
      </c>
      <c r="C39" s="26"/>
      <c r="D39" s="26"/>
      <c r="E39" s="26"/>
      <c r="F39" s="26"/>
      <c r="G39" s="26"/>
      <c r="H39" s="26"/>
      <c r="I39" s="26"/>
      <c r="J39" s="26" t="s">
        <v>118</v>
      </c>
      <c r="K39" s="135" t="s">
        <v>119</v>
      </c>
      <c r="L39" s="136" t="s">
        <v>120</v>
      </c>
      <c r="O39" s="18"/>
      <c r="P39" s="137" t="s">
        <v>121</v>
      </c>
      <c r="Q39" s="138"/>
      <c r="R39" s="138"/>
      <c r="S39" s="139"/>
      <c r="T39" s="140" t="s">
        <v>122</v>
      </c>
    </row>
    <row r="40" spans="1:25" x14ac:dyDescent="0.3">
      <c r="A40" s="141"/>
      <c r="B40" s="16"/>
      <c r="C40" s="17"/>
      <c r="D40" s="17"/>
      <c r="E40" s="17"/>
      <c r="F40" s="17"/>
      <c r="G40" s="17"/>
      <c r="H40" s="17"/>
      <c r="I40" s="17"/>
      <c r="J40" s="142">
        <f>ROUND((G40*6),3)</f>
        <v>0</v>
      </c>
      <c r="K40" s="8" t="s">
        <v>123</v>
      </c>
      <c r="L40" s="143" t="str">
        <f>IF(J40&lt;=5,"Pass","Fail")</f>
        <v>Pass</v>
      </c>
      <c r="M40" t="s">
        <v>124</v>
      </c>
      <c r="P40" s="137"/>
      <c r="Q40" s="138"/>
      <c r="R40" s="138"/>
      <c r="S40" s="139"/>
    </row>
    <row r="41" spans="1:25" ht="16.2" thickBot="1" x14ac:dyDescent="0.35">
      <c r="A41" s="144"/>
      <c r="B41" s="145"/>
      <c r="C41" s="146"/>
      <c r="D41" s="146"/>
      <c r="E41" s="146"/>
      <c r="F41" s="146"/>
      <c r="G41" s="146"/>
      <c r="H41" s="146"/>
      <c r="I41" s="146"/>
      <c r="J41" s="147">
        <f>ROUND((G41*6),3)</f>
        <v>0</v>
      </c>
      <c r="K41" s="31" t="s">
        <v>125</v>
      </c>
      <c r="L41" s="148" t="str">
        <f>IF(J41&lt;=10, "Pass", "Fail")</f>
        <v>Pass</v>
      </c>
      <c r="M41" t="s">
        <v>126</v>
      </c>
      <c r="P41" s="149"/>
      <c r="Q41" s="150"/>
      <c r="R41" s="150"/>
      <c r="S41" s="151"/>
    </row>
    <row r="42" spans="1:25" x14ac:dyDescent="0.3">
      <c r="A42" s="126"/>
      <c r="B42" s="126"/>
      <c r="O42" s="18"/>
    </row>
    <row r="43" spans="1:25" ht="16.2" thickBot="1" x14ac:dyDescent="0.35">
      <c r="A43" s="126"/>
      <c r="B43" s="126"/>
      <c r="O43" s="18"/>
    </row>
    <row r="44" spans="1:25" x14ac:dyDescent="0.3">
      <c r="A44" s="65" t="s">
        <v>3</v>
      </c>
      <c r="B44" s="61" t="s">
        <v>5</v>
      </c>
      <c r="C44" s="152" t="s">
        <v>127</v>
      </c>
      <c r="D44" s="25" t="s">
        <v>54</v>
      </c>
      <c r="E44" s="25"/>
      <c r="F44" s="153"/>
      <c r="G44" s="153"/>
      <c r="H44" s="153"/>
      <c r="I44" s="153"/>
      <c r="J44" s="153"/>
      <c r="K44" s="154"/>
      <c r="O44" s="18"/>
    </row>
    <row r="45" spans="1:25" ht="16.2" thickBot="1" x14ac:dyDescent="0.35">
      <c r="A45" s="144"/>
      <c r="B45" s="145"/>
      <c r="C45" s="155" t="s">
        <v>128</v>
      </c>
      <c r="D45" s="30">
        <v>180</v>
      </c>
      <c r="E45" s="30"/>
      <c r="F45" s="156" t="s">
        <v>129</v>
      </c>
      <c r="G45" s="157"/>
      <c r="H45" s="157"/>
      <c r="I45" s="157"/>
      <c r="J45" s="157"/>
      <c r="K45" s="158"/>
      <c r="O45" s="18"/>
    </row>
    <row r="46" spans="1:25" x14ac:dyDescent="0.3">
      <c r="A46" s="159" t="s">
        <v>58</v>
      </c>
      <c r="B46" s="160" t="s">
        <v>130</v>
      </c>
      <c r="C46" s="160"/>
      <c r="D46" s="160"/>
      <c r="E46" s="160"/>
      <c r="F46" s="160"/>
      <c r="G46" s="161" t="s">
        <v>131</v>
      </c>
      <c r="H46" s="161"/>
      <c r="I46" s="98" t="s">
        <v>132</v>
      </c>
      <c r="J46" s="100"/>
      <c r="K46" s="75" t="s">
        <v>100</v>
      </c>
      <c r="O46" s="18"/>
    </row>
    <row r="47" spans="1:25" ht="16.2" thickBot="1" x14ac:dyDescent="0.35">
      <c r="A47" s="162"/>
      <c r="B47" s="29" t="s">
        <v>133</v>
      </c>
      <c r="C47" s="29" t="s">
        <v>134</v>
      </c>
      <c r="D47" s="29" t="s">
        <v>135</v>
      </c>
      <c r="E47" s="29" t="s">
        <v>136</v>
      </c>
      <c r="F47" s="163" t="s">
        <v>137</v>
      </c>
      <c r="G47" s="164"/>
      <c r="H47" s="164"/>
      <c r="I47" s="104"/>
      <c r="J47" s="106"/>
      <c r="K47" s="81"/>
      <c r="O47" s="18"/>
    </row>
    <row r="48" spans="1:25" x14ac:dyDescent="0.3">
      <c r="A48" s="165" t="s">
        <v>64</v>
      </c>
      <c r="B48" s="166"/>
      <c r="C48" s="166"/>
      <c r="D48" s="166"/>
      <c r="E48" s="166"/>
      <c r="F48" s="166"/>
      <c r="G48" s="167" t="e">
        <f>ROUND(3*MAX(B48:F48)/(B45),3)</f>
        <v>#DIV/0!</v>
      </c>
      <c r="H48" s="167"/>
      <c r="I48" s="167" t="e">
        <f>ROUND((D45*MAX(B48:E48)/(60*B45*114)),3)</f>
        <v>#DIV/0!</v>
      </c>
      <c r="J48" s="167"/>
      <c r="K48" s="37" t="e">
        <f>IF(I48&lt;=1, "Pass", "Fail")</f>
        <v>#DIV/0!</v>
      </c>
      <c r="O48" s="18"/>
    </row>
    <row r="49" spans="1:15" ht="16.2" thickBot="1" x14ac:dyDescent="0.35">
      <c r="A49" s="50" t="s">
        <v>65</v>
      </c>
      <c r="B49" s="168"/>
      <c r="C49" s="168"/>
      <c r="D49" s="168"/>
      <c r="E49" s="168"/>
      <c r="F49" s="168"/>
      <c r="G49" s="167" t="e">
        <f>ROUND(3*MAX(B49:F49)/(B45),3)</f>
        <v>#DIV/0!</v>
      </c>
      <c r="H49" s="167"/>
      <c r="I49" s="167" t="e">
        <f>ROUND((D45*MAX(B49:F49)/(60*B45*114)),3)</f>
        <v>#DIV/0!</v>
      </c>
      <c r="J49" s="167"/>
      <c r="K49" s="50" t="e">
        <f>IF(I49&lt;=1, "Pass", "Fail")</f>
        <v>#DIV/0!</v>
      </c>
      <c r="O49" s="18"/>
    </row>
    <row r="50" spans="1:15" ht="16.2" thickBot="1" x14ac:dyDescent="0.35">
      <c r="A50" s="169" t="s">
        <v>138</v>
      </c>
      <c r="B50" s="170"/>
      <c r="C50" s="170"/>
      <c r="D50" s="170"/>
      <c r="E50" s="170"/>
      <c r="F50" s="170"/>
      <c r="G50" s="170"/>
      <c r="H50" s="170"/>
      <c r="I50" s="170"/>
      <c r="J50" s="170"/>
      <c r="K50" s="171"/>
      <c r="O50" s="18"/>
    </row>
    <row r="51" spans="1:15" x14ac:dyDescent="0.3">
      <c r="O51" s="18"/>
    </row>
    <row r="53" spans="1:15" ht="16.2" thickBot="1" x14ac:dyDescent="0.35">
      <c r="A53" s="50"/>
      <c r="B53" s="50"/>
      <c r="C53" s="50"/>
      <c r="D53" s="50"/>
      <c r="E53" s="172" t="s">
        <v>120</v>
      </c>
    </row>
    <row r="54" spans="1:15" x14ac:dyDescent="0.3">
      <c r="A54" s="173" t="s">
        <v>139</v>
      </c>
      <c r="B54" s="26"/>
      <c r="C54" s="174"/>
      <c r="D54" s="26" t="s">
        <v>140</v>
      </c>
      <c r="E54" s="175" t="str">
        <f>IF(C54&lt;=3, "Pass", "Fail")</f>
        <v>Pass</v>
      </c>
      <c r="F54" s="8" t="s">
        <v>141</v>
      </c>
      <c r="G54" s="8"/>
      <c r="H54" s="8"/>
      <c r="I54" s="8"/>
    </row>
    <row r="55" spans="1:15" ht="16.2" thickBot="1" x14ac:dyDescent="0.35">
      <c r="A55" s="176" t="s">
        <v>142</v>
      </c>
      <c r="B55" s="31"/>
      <c r="C55" s="177"/>
      <c r="D55" s="31" t="s">
        <v>143</v>
      </c>
      <c r="E55" s="178" t="str">
        <f>IF(C55&gt;=1.5, "Pass", "Fail")</f>
        <v>Fail</v>
      </c>
      <c r="F55" s="8" t="s">
        <v>144</v>
      </c>
      <c r="G55" s="8"/>
      <c r="H55" s="8"/>
      <c r="I55" s="8"/>
    </row>
  </sheetData>
  <protectedRanges>
    <protectedRange sqref="N1:O1" name="Range4"/>
    <protectedRange sqref="B1:I4 B6:E8 G5:I6" name="Range1"/>
    <protectedRange sqref="A12:I35 A40:I41" name="Range2"/>
    <protectedRange sqref="A45:C45 B48:F49 C54:C55" name="Range3"/>
  </protectedRanges>
  <mergeCells count="55">
    <mergeCell ref="G48:H48"/>
    <mergeCell ref="I48:J48"/>
    <mergeCell ref="G49:H49"/>
    <mergeCell ref="I49:J49"/>
    <mergeCell ref="A50:K50"/>
    <mergeCell ref="D45:E45"/>
    <mergeCell ref="A46:A47"/>
    <mergeCell ref="B46:F46"/>
    <mergeCell ref="G46:H47"/>
    <mergeCell ref="I46:J47"/>
    <mergeCell ref="K46:K47"/>
    <mergeCell ref="P34:Y34"/>
    <mergeCell ref="P35:Y35"/>
    <mergeCell ref="P37:Q37"/>
    <mergeCell ref="A38:C38"/>
    <mergeCell ref="P39:S41"/>
    <mergeCell ref="D44:E44"/>
    <mergeCell ref="P26:X26"/>
    <mergeCell ref="P27:X27"/>
    <mergeCell ref="O28:Y28"/>
    <mergeCell ref="O29:O31"/>
    <mergeCell ref="P29:P31"/>
    <mergeCell ref="Q29:U31"/>
    <mergeCell ref="X29:X31"/>
    <mergeCell ref="Y29:Y31"/>
    <mergeCell ref="P19:X19"/>
    <mergeCell ref="P20:X20"/>
    <mergeCell ref="P21:R21"/>
    <mergeCell ref="Q22:S22"/>
    <mergeCell ref="U23:U25"/>
    <mergeCell ref="X23:X25"/>
    <mergeCell ref="P13:P14"/>
    <mergeCell ref="Q13:S13"/>
    <mergeCell ref="T13:T14"/>
    <mergeCell ref="U13:U14"/>
    <mergeCell ref="V13:V14"/>
    <mergeCell ref="X13:X14"/>
    <mergeCell ref="B8:E8"/>
    <mergeCell ref="G8:I8"/>
    <mergeCell ref="B9:E9"/>
    <mergeCell ref="G9:I9"/>
    <mergeCell ref="B10:I10"/>
    <mergeCell ref="P12:X12"/>
    <mergeCell ref="B5:E5"/>
    <mergeCell ref="G5:I5"/>
    <mergeCell ref="B6:E6"/>
    <mergeCell ref="G6:I6"/>
    <mergeCell ref="B7:E7"/>
    <mergeCell ref="G7:I7"/>
    <mergeCell ref="B1:I1"/>
    <mergeCell ref="K1:M1"/>
    <mergeCell ref="N1:O1"/>
    <mergeCell ref="B2:I2"/>
    <mergeCell ref="B3:I3"/>
    <mergeCell ref="B4:I4"/>
  </mergeCells>
  <conditionalFormatting sqref="I48:J49">
    <cfRule type="cellIs" dxfId="14" priority="1" operator="greaterThanOrEqual">
      <formula>1</formula>
    </cfRule>
  </conditionalFormatting>
  <conditionalFormatting sqref="Q15:T15">
    <cfRule type="cellIs" dxfId="13" priority="11" operator="lessThanOrEqual">
      <formula>$P$15-5</formula>
    </cfRule>
    <cfRule type="cellIs" dxfId="12" priority="12" operator="lessThanOrEqual">
      <formula>$P$15+5</formula>
    </cfRule>
  </conditionalFormatting>
  <conditionalFormatting sqref="Q16:T16">
    <cfRule type="cellIs" dxfId="11" priority="9" operator="lessThanOrEqual">
      <formula>$P$16-5</formula>
    </cfRule>
    <cfRule type="cellIs" dxfId="10" priority="10" operator="greaterThanOrEqual">
      <formula>$P$16+5</formula>
    </cfRule>
  </conditionalFormatting>
  <conditionalFormatting sqref="Q17:T17">
    <cfRule type="cellIs" dxfId="9" priority="7" operator="lessThanOrEqual">
      <formula>$P$17-5</formula>
    </cfRule>
    <cfRule type="cellIs" dxfId="8" priority="8" operator="greaterThanOrEqual">
      <formula>$P$17+5</formula>
    </cfRule>
  </conditionalFormatting>
  <conditionalFormatting sqref="Q18:T18">
    <cfRule type="cellIs" dxfId="7" priority="5" operator="lessThanOrEqual">
      <formula>$P$18-5</formula>
    </cfRule>
    <cfRule type="cellIs" dxfId="6" priority="6" operator="greaterThanOrEqual">
      <formula>$P$18+5</formula>
    </cfRule>
  </conditionalFormatting>
  <conditionalFormatting sqref="R38:S38">
    <cfRule type="cellIs" dxfId="5" priority="15" operator="lessThan">
      <formula>2.5</formula>
    </cfRule>
  </conditionalFormatting>
  <conditionalFormatting sqref="U15:U18 X23 Y32:Y33 S38 L40:L41 K48:K49 E54:E55">
    <cfRule type="containsText" dxfId="4" priority="3" operator="containsText" text="Fail">
      <formula>NOT(ISERROR(SEARCH("Fail",E15)))</formula>
    </cfRule>
    <cfRule type="containsText" dxfId="3" priority="4" operator="containsText" text="Pass">
      <formula>NOT(ISERROR(SEARCH("Pass",E15)))</formula>
    </cfRule>
  </conditionalFormatting>
  <conditionalFormatting sqref="U23">
    <cfRule type="cellIs" dxfId="2" priority="13" operator="greaterThanOrEqual">
      <formula>0.1</formula>
    </cfRule>
  </conditionalFormatting>
  <conditionalFormatting sqref="X32:X33">
    <cfRule type="cellIs" dxfId="1" priority="2" operator="greaterThanOrEqual">
      <formula>0.05</formula>
    </cfRule>
    <cfRule type="cellIs" dxfId="0" priority="14" operator="greaterThan">
      <formula>0.05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prajwala nagekar</cp:lastModifiedBy>
  <dcterms:modified xsi:type="dcterms:W3CDTF">2026-03-16T10:26:18Z</dcterms:modified>
</cp:coreProperties>
</file>