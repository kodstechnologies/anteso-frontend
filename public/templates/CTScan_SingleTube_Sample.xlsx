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4857E4A6-A2C7-46E8-BEA1-BEA25A8B50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T Scan Data" sheetId="1" r:id="rId1"/>
    <sheet name="raw data" sheetId="3" r:id="rId2"/>
  </sheets>
  <calcPr calcId="191029"/>
</workbook>
</file>

<file path=xl/calcChain.xml><?xml version="1.0" encoding="utf-8"?>
<calcChain xmlns="http://schemas.openxmlformats.org/spreadsheetml/2006/main">
  <c r="R22" i="3" l="1"/>
  <c r="E24" i="1"/>
  <c r="E23" i="1"/>
  <c r="E22" i="1"/>
  <c r="D24" i="1"/>
  <c r="D23" i="1"/>
  <c r="D22" i="1"/>
  <c r="F22" i="1"/>
  <c r="E40" i="1" l="1"/>
  <c r="R44" i="3"/>
  <c r="A40" i="1"/>
  <c r="K44" i="1"/>
  <c r="I47" i="1"/>
  <c r="I46" i="1"/>
  <c r="I45" i="1"/>
  <c r="I44" i="1"/>
  <c r="H47" i="1"/>
  <c r="H46" i="1"/>
  <c r="H45" i="1"/>
  <c r="H44" i="1"/>
  <c r="G47" i="1"/>
  <c r="G46" i="1"/>
  <c r="G45" i="1"/>
  <c r="G44" i="1"/>
  <c r="F47" i="1"/>
  <c r="F46" i="1"/>
  <c r="F45" i="1"/>
  <c r="F44" i="1"/>
  <c r="E47" i="1"/>
  <c r="E46" i="1"/>
  <c r="E45" i="1"/>
  <c r="E44" i="1"/>
  <c r="D47" i="1"/>
  <c r="D46" i="1"/>
  <c r="D45" i="1"/>
  <c r="D44" i="1"/>
  <c r="Q29" i="3"/>
  <c r="R29" i="3"/>
  <c r="S29" i="3"/>
  <c r="T29" i="3"/>
  <c r="Q37" i="3"/>
  <c r="Q38" i="3"/>
  <c r="Q39" i="3"/>
  <c r="Q40" i="3"/>
  <c r="R14" i="3" l="1"/>
  <c r="R15" i="3"/>
  <c r="R16" i="3"/>
  <c r="R17" i="3"/>
  <c r="T17" i="3"/>
  <c r="X17" i="3" s="1"/>
  <c r="U17" i="3" s="1"/>
  <c r="Q15" i="3"/>
  <c r="Q16" i="3"/>
  <c r="B11" i="1" s="1"/>
  <c r="Q17" i="3"/>
  <c r="S14" i="3"/>
  <c r="S15" i="3"/>
  <c r="S16" i="3"/>
  <c r="M14" i="3"/>
  <c r="B10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S44" i="3"/>
  <c r="Q44" i="3"/>
  <c r="N44" i="3"/>
  <c r="M44" i="3"/>
  <c r="N43" i="3"/>
  <c r="R32" i="3" s="1"/>
  <c r="M43" i="3"/>
  <c r="N42" i="3"/>
  <c r="M42" i="3"/>
  <c r="N41" i="3"/>
  <c r="M41" i="3"/>
  <c r="S40" i="3"/>
  <c r="R40" i="3"/>
  <c r="P40" i="3"/>
  <c r="N40" i="3"/>
  <c r="M40" i="3"/>
  <c r="T39" i="3"/>
  <c r="S39" i="3"/>
  <c r="P39" i="3"/>
  <c r="N39" i="3"/>
  <c r="M39" i="3"/>
  <c r="S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M33" i="3"/>
  <c r="S32" i="3"/>
  <c r="Q32" i="3"/>
  <c r="P32" i="3"/>
  <c r="T32" i="3" s="1"/>
  <c r="N32" i="3"/>
  <c r="M32" i="3"/>
  <c r="T31" i="3"/>
  <c r="S31" i="3"/>
  <c r="R31" i="3"/>
  <c r="Q31" i="3"/>
  <c r="P31" i="3"/>
  <c r="N31" i="3"/>
  <c r="M31" i="3"/>
  <c r="Q30" i="3"/>
  <c r="P30" i="3"/>
  <c r="N30" i="3"/>
  <c r="M30" i="3"/>
  <c r="P29" i="3"/>
  <c r="N29" i="3"/>
  <c r="M29" i="3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23" i="3"/>
  <c r="T23" i="3" s="1"/>
  <c r="U23" i="3" s="1"/>
  <c r="P23" i="3"/>
  <c r="N23" i="3"/>
  <c r="M23" i="3"/>
  <c r="T22" i="3"/>
  <c r="U22" i="3" s="1"/>
  <c r="P22" i="3"/>
  <c r="N22" i="3"/>
  <c r="M22" i="3"/>
  <c r="N21" i="3"/>
  <c r="U37" i="3" s="1"/>
  <c r="M21" i="3"/>
  <c r="N20" i="3"/>
  <c r="T37" i="3" s="1"/>
  <c r="M20" i="3"/>
  <c r="N19" i="3"/>
  <c r="M19" i="3"/>
  <c r="N18" i="3"/>
  <c r="R37" i="3" s="1"/>
  <c r="M18" i="3"/>
  <c r="P17" i="3"/>
  <c r="N17" i="3"/>
  <c r="M17" i="3"/>
  <c r="T16" i="3"/>
  <c r="P16" i="3"/>
  <c r="N16" i="3"/>
  <c r="M16" i="3"/>
  <c r="T15" i="3"/>
  <c r="P15" i="3"/>
  <c r="N15" i="3"/>
  <c r="M15" i="3"/>
  <c r="P14" i="3"/>
  <c r="N14" i="3"/>
  <c r="S13" i="3"/>
  <c r="R13" i="3"/>
  <c r="Q13" i="3"/>
  <c r="N13" i="3"/>
  <c r="M13" i="3"/>
  <c r="T14" i="3" l="1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<sst xmlns="http://schemas.openxmlformats.org/spreadsheetml/2006/main" count="543" uniqueCount="300">
  <si>
    <t>TEST: RADIATION PROFILE WIDTH FOR CT SCAN</t>
  </si>
  <si>
    <t>Applied</t>
  </si>
  <si>
    <t>Measured</t>
  </si>
  <si>
    <t>kVp</t>
  </si>
  <si>
    <t>mA</t>
  </si>
  <si>
    <t>0.62</t>
  </si>
  <si>
    <t>120</t>
  </si>
  <si>
    <t>200</t>
  </si>
  <si>
    <t>1.25</t>
  </si>
  <si>
    <t>1.27</t>
  </si>
  <si>
    <t/>
  </si>
  <si>
    <t>3.0</t>
  </si>
  <si>
    <t>3.05</t>
  </si>
  <si>
    <t>TEST: MEASUREMENT OF OPERATING POTENTIAL</t>
  </si>
  <si>
    <t>Set kV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</si>
  <si>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</si>
  <si>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</si>
  <si>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</si>
  <si>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</si>
  <si>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</si>
  <si>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</si>
  <si>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</si>
  <si>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</si>
  <si>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80.2</t>
  </si>
  <si>
    <t>80.3</t>
  </si>
  <si>
    <t>100</t>
  </si>
  <si>
    <t>5</t>
  </si>
  <si>
    <t>%</t>
  </si>
  <si>
    <t>±</t>
  </si>
  <si>
    <t>100.1</t>
  </si>
  <si>
    <t>100.3</t>
  </si>
  <si>
    <t>120.4</t>
  </si>
  <si>
    <t>120.6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</si>
  <si>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</si>
  <si>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</si>
  <si>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</si>
  <si>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</si>
  <si>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</si>
  <si>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</si>
  <si>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</si>
  <si>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</si>
  <si>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10.2</t>
  </si>
  <si>
    <t>10.3</t>
  </si>
  <si>
    <t>20</t>
  </si>
  <si>
    <t>20.2</t>
  </si>
  <si>
    <t>20.1</t>
  </si>
  <si>
    <t>20.3</t>
  </si>
  <si>
    <t>50</t>
  </si>
  <si>
    <t>50.5</t>
  </si>
  <si>
    <t>50.4</t>
  </si>
  <si>
    <t>50.6</t>
  </si>
  <si>
    <t>101.0</t>
  </si>
  <si>
    <t>100.8</t>
  </si>
  <si>
    <t>101.2</t>
  </si>
  <si>
    <t>TEST: TIMER ACCURACY</t>
  </si>
  <si>
    <t>Set Time (ms)</t>
  </si>
  <si>
    <t>Observed Time (ms)</t>
  </si>
  <si>
    <t>Tolerance (%)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</si>
  <si>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</si>
  <si>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</si>
  <si>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</si>
  <si>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</si>
  <si>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</si>
  <si>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</si>
  <si>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</si>
  <si>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</si>
  <si>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</si>
  <si>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</si>
  <si>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</si>
  <si>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</si>
  <si>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</si>
  <si>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</si>
  <si>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</si>
  <si>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</si>
  <si>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</si>
  <si>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</si>
  <si>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</si>
  <si>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</si>
  <si>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</si>
  <si>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</si>
  <si>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</si>
  <si>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</si>
  <si>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</si>
  <si>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</si>
  <si>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</si>
  <si>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</si>
  <si>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</si>
  <si>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</si>
  <si>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</si>
  <si>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</si>
  <si>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</si>
  <si>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</si>
  <si>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</si>
  <si>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</si>
  <si>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</si>
  <si>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</si>
  <si>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TEST: Reproducibility of Radiation Output (Consistency Test)</t>
  </si>
  <si>
    <t>Time (s)</t>
  </si>
  <si>
    <t>Meas 4</t>
  </si>
  <si>
    <t>Meas 5</t>
  </si>
  <si>
    <t>COV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</si>
  <si>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</si>
  <si>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</si>
  <si>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</si>
  <si>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</si>
  <si>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</si>
  <si>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</si>
  <si>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</si>
  <si>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</si>
  <si>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</si>
  <si>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</si>
  <si>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</si>
  <si>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</si>
  <si>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</si>
  <si>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</si>
  <si>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</si>
  <si>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</si>
  <si>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</si>
  <si>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</si>
  <si>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</si>
  <si>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</si>
  <si>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</si>
  <si>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</si>
  <si>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</si>
  <si>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</si>
  <si>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</si>
  <si>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</si>
  <si>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</si>
  <si>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</si>
  <si>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</si>
  <si>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</si>
  <si>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</si>
  <si>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</si>
  <si>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</si>
  <si>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</si>
  <si>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</si>
  <si>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</si>
  <si>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</si>
  <si>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</si>
  <si>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</si>
  <si>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</si>
  <si>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</si>
  <si>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</si>
  <si>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</si>
  <si>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</si>
  <si>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</si>
  <si>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</si>
  <si>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</si>
  <si>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</si>
  <si>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</si>
  <si>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</si>
  <si>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</si>
  <si>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</si>
  <si>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</si>
  <si>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</si>
  <si>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</si>
  <si>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</si>
  <si>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</si>
  <si>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</si>
  <si>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</si>
  <si>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</si>
  <si>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</si>
  <si>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</si>
  <si>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</si>
  <si>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</si>
  <si>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</si>
  <si>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</si>
  <si>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</si>
  <si>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</si>
  <si>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</si>
  <si>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</si>
  <si>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</si>
  <si>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</si>
  <si>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</si>
  <si>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</si>
  <si>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</si>
  <si>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</si>
  <si>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</si>
  <si>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</si>
  <si>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</si>
  <si>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</si>
  <si>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</si>
  <si>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</si>
  <si>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</si>
  <si>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</si>
  <si>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</si>
  <si>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</si>
  <si>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</si>
  <si>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</si>
  <si>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</si>
  <si>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</si>
  <si>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</si>
  <si>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</si>
  <si>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</si>
  <si>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</si>
  <si>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</si>
  <si>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</si>
  <si>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</si>
  <si>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</si>
  <si>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</si>
  <si>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</si>
  <si>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</si>
  <si>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</si>
  <si>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</si>
  <si>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</si>
  <si>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</si>
  <si>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</si>
  <si>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</si>
  <si>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</si>
  <si>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</si>
  <si>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</si>
  <si>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</si>
  <si>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</si>
  <si>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</si>
  <si>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</si>
  <si>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</si>
  <si>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</si>
  <si>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</si>
  <si>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</si>
  <si>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</si>
  <si>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</si>
  <si>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</si>
  <si>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</si>
  <si>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</si>
  <si>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</si>
  <si>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</si>
  <si>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</si>
  <si>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</si>
  <si>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</si>
  <si>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</si>
  <si>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</si>
  <si>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</si>
  <si>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</si>
  <si>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</si>
  <si>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</si>
  <si>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</si>
  <si>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</si>
  <si>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</si>
  <si>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</si>
  <si>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</si>
  <si>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</si>
  <si>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</si>
  <si>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</si>
  <si>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</si>
  <si>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</si>
  <si>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</si>
  <si>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</si>
  <si>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</si>
  <si>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</si>
  <si>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</si>
  <si>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</si>
  <si>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</si>
  <si>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</si>
  <si>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</si>
  <si>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</si>
  <si>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</si>
  <si>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</si>
  <si>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</si>
  <si>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</si>
  <si>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</si>
  <si>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</si>
  <si>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</si>
  <si>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</si>
  <si>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</si>
  <si>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</si>
  <si>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</si>
  <si>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</si>
  <si>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</si>
  <si>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</si>
  <si>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</si>
  <si>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</si>
  <si>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</si>
  <si>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</si>
  <si>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</si>
  <si>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</si>
  <si>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</si>
  <si>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</si>
  <si>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</si>
  <si>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</si>
  <si>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</si>
  <si>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</si>
  <si>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</si>
  <si>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</si>
  <si>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</si>
  <si>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</si>
  <si>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</si>
  <si>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</si>
  <si>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</si>
  <si>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</si>
  <si>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</si>
  <si>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</si>
  <si>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</si>
  <si>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</si>
  <si>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</si>
  <si>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</si>
  <si>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</si>
  <si>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</si>
  <si>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</si>
  <si>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</si>
  <si>
    <t xml:space="preserve"> mA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</si>
</sst>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9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9" fillId="3" borderId="18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" fontId="9" fillId="3" borderId="16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workbookViewId="0">
      <selection activeCell="C6" sqref="C6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v>0.6</v>
      </c>
      <c r="B3" t="s">
        <v>5</v>
      </c>
      <c r="C3" t="s">
        <v>6</v>
      </c>
      <c r="D3" t="s">
        <v>7</v>
      </c>
    </row>
    <row r="4" spans="1:9" x14ac:dyDescent="0.3">
      <c r="A4" t="s">
        <v>8</v>
      </c>
      <c r="B4" t="s">
        <v>9</v>
      </c>
      <c r="C4" t="s">
        <v>10</v>
      </c>
      <c r="D4" t="s">
        <v>10</v>
      </c>
    </row>
    <row r="5" spans="1:9" x14ac:dyDescent="0.3">
      <c r="A5" t="s">
        <v>11</v>
      </c>
      <c r="B5" t="s">
        <v>12</v>
      </c>
      <c r="C5" t="s">
        <v>10</v>
      </c>
      <c r="D5" t="s">
        <v>10</v>
      </c>
    </row>
    <row r="7" spans="1:9" x14ac:dyDescent="0.3">
      <c r="A7" t="s">
        <v>13</v>
      </c>
    </row>
    <row r="8" spans="1:9" x14ac:dyDescent="0.3">
      <c r="A8" t="s">
        <v>14</v>
      </c>
      <c r="B8" t="s">
        <v>299</v>
      </c>
      <c r="C8" t="s">
        <v>15</v>
      </c>
      <c r="D8" t="s">
        <v>16</v>
      </c>
      <c r="E8" t="s">
        <v>17</v>
      </c>
      <c r="F8" t="s">
        <v>18</v>
      </c>
      <c r="G8" t="s">
        <v>19</v>
      </c>
      <c r="H8" t="s">
        <v>20</v>
      </c>
      <c r="I8" t="s">
        <v>21</v>
      </c>
    </row>
    <row r="9" spans="1:9" x14ac:dyDescent="0.3">
      <c r="A9" t="s">
        <v>22</v>
      </c>
      <c r="B9" s="174">
        <f>'raw data'!Q14</f>
        <v>78</v>
      </c>
      <c r="C9" t="s">
        <v>23</v>
      </c>
      <c r="D9" t="s">
        <v>24</v>
      </c>
      <c r="E9" t="s">
        <v>25</v>
      </c>
      <c r="F9" t="s">
        <v>26</v>
      </c>
      <c r="G9" t="s">
        <v>26</v>
      </c>
      <c r="H9" t="s">
        <v>27</v>
      </c>
      <c r="I9" t="s">
        <v>28</v>
      </c>
    </row>
    <row r="10" spans="1:9" x14ac:dyDescent="0.3">
      <c r="A10" t="s">
        <v>25</v>
      </c>
      <c r="B10" s="174">
        <f>'raw data'!Q15</f>
        <v>101.01</v>
      </c>
      <c r="C10" t="s">
        <v>29</v>
      </c>
      <c r="D10" t="s">
        <v>30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</row>
    <row r="11" spans="1:9" x14ac:dyDescent="0.3">
      <c r="A11" t="s">
        <v>6</v>
      </c>
      <c r="B11" s="174">
        <f>'raw data'!Q16</f>
        <v>120.92</v>
      </c>
      <c r="C11" t="s">
        <v>31</v>
      </c>
      <c r="D11" t="s">
        <v>32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</row>
    <row r="13" spans="1:9" x14ac:dyDescent="0.3">
      <c r="A13" t="s">
        <v>33</v>
      </c>
    </row>
    <row r="14" spans="1:9" x14ac:dyDescent="0.3">
      <c r="A14" t="s">
        <v>3</v>
      </c>
      <c r="B14" t="s">
        <v>18</v>
      </c>
      <c r="C14" t="s">
        <v>17</v>
      </c>
      <c r="D14" t="s">
        <v>34</v>
      </c>
      <c r="E14" t="s">
        <v>35</v>
      </c>
      <c r="F14" t="s">
        <v>36</v>
      </c>
      <c r="G14" t="s">
        <v>37</v>
      </c>
    </row>
    <row r="15" spans="1:9" x14ac:dyDescent="0.3">
      <c r="A15" t="s">
        <v>22</v>
      </c>
      <c r="B15" t="s">
        <v>38</v>
      </c>
      <c r="C15" t="s">
        <v>25</v>
      </c>
      <c r="D15" t="s">
        <v>39</v>
      </c>
      <c r="E15" t="s">
        <v>40</v>
      </c>
      <c r="F15" t="s">
        <v>41</v>
      </c>
      <c r="G15" t="s">
        <v>42</v>
      </c>
    </row>
    <row r="16" spans="1:9" x14ac:dyDescent="0.3">
      <c r="A16" t="s">
        <v>22</v>
      </c>
      <c r="B16" t="s">
        <v>38</v>
      </c>
      <c r="C16" t="s">
        <v>25</v>
      </c>
      <c r="D16" t="s">
        <v>43</v>
      </c>
      <c r="E16" t="s">
        <v>44</v>
      </c>
      <c r="F16" t="s">
        <v>45</v>
      </c>
      <c r="G16" t="s">
        <v>46</v>
      </c>
    </row>
    <row r="17" spans="1:11" x14ac:dyDescent="0.3">
      <c r="A17" t="s">
        <v>22</v>
      </c>
      <c r="B17" t="s">
        <v>38</v>
      </c>
      <c r="C17" t="s">
        <v>25</v>
      </c>
      <c r="D17" t="s">
        <v>47</v>
      </c>
      <c r="E17" t="s">
        <v>48</v>
      </c>
      <c r="F17" t="s">
        <v>49</v>
      </c>
      <c r="G17" t="s">
        <v>50</v>
      </c>
    </row>
    <row r="18" spans="1:11" x14ac:dyDescent="0.3">
      <c r="A18" t="s">
        <v>22</v>
      </c>
      <c r="B18" t="s">
        <v>38</v>
      </c>
      <c r="C18" t="s">
        <v>25</v>
      </c>
      <c r="D18" t="s">
        <v>25</v>
      </c>
      <c r="E18" t="s">
        <v>51</v>
      </c>
      <c r="F18" t="s">
        <v>52</v>
      </c>
      <c r="G18" t="s">
        <v>53</v>
      </c>
    </row>
    <row r="20" spans="1:11" x14ac:dyDescent="0.3">
      <c r="A20" t="s">
        <v>54</v>
      </c>
    </row>
    <row r="21" spans="1:11" x14ac:dyDescent="0.3">
      <c r="A21" t="s">
        <v>3</v>
      </c>
      <c r="B21" t="s">
        <v>18</v>
      </c>
      <c r="C21" t="s">
        <v>4</v>
      </c>
      <c r="D21" t="s">
        <v>55</v>
      </c>
      <c r="E21" t="s">
        <v>56</v>
      </c>
      <c r="F21" t="s">
        <v>57</v>
      </c>
    </row>
    <row r="22" spans="1:11" x14ac:dyDescent="0.3">
      <c r="A22" t="s">
        <v>22</v>
      </c>
      <c r="B22" t="s">
        <v>38</v>
      </c>
      <c r="C22" t="s">
        <v>25</v>
      </c>
      <c r="D22" s="174" t="e">
        <f>'raw data'!P22:Q22</f>
        <v>#VALUE!</v>
      </c>
      <c r="E22" t="e">
        <f>'raw data'!R22:S22</f>
        <v>#VALUE!</v>
      </c>
      <c r="F22" t="e">
        <f>'raw data'!P25:U25</f>
        <v>#VALUE!</v>
      </c>
    </row>
    <row r="23" spans="1:11" x14ac:dyDescent="0.3">
      <c r="A23" t="s">
        <v>22</v>
      </c>
      <c r="B23" t="s">
        <v>38</v>
      </c>
      <c r="C23" t="s">
        <v>25</v>
      </c>
      <c r="D23" s="174" t="e">
        <f>'raw data'!P23:Q23</f>
        <v>#VALUE!</v>
      </c>
      <c r="E23" t="e">
        <f>'raw data'!R23:S23</f>
        <v>#VALUE!</v>
      </c>
      <c r="F23" t="s">
        <v>10</v>
      </c>
    </row>
    <row r="24" spans="1:11" x14ac:dyDescent="0.3">
      <c r="D24" s="174" t="e">
        <f>'raw data'!P24:Q24</f>
        <v>#VALUE!</v>
      </c>
      <c r="E24" t="e">
        <f>'raw data'!R24:S24</f>
        <v>#VALUE!</v>
      </c>
    </row>
    <row r="25" spans="1:11" x14ac:dyDescent="0.3">
      <c r="D25" s="174"/>
    </row>
    <row r="26" spans="1:11" x14ac:dyDescent="0.3">
      <c r="A26" t="s">
        <v>58</v>
      </c>
    </row>
    <row r="27" spans="1:11" x14ac:dyDescent="0.3">
      <c r="A27" t="s">
        <v>59</v>
      </c>
      <c r="B27" t="s">
        <v>60</v>
      </c>
      <c r="C27" t="s">
        <v>61</v>
      </c>
      <c r="D27" t="s">
        <v>62</v>
      </c>
      <c r="E27" t="s">
        <v>63</v>
      </c>
    </row>
    <row r="28" spans="1:11" x14ac:dyDescent="0.3">
      <c r="A28" t="s">
        <v>47</v>
      </c>
      <c r="B28" t="s">
        <v>64</v>
      </c>
      <c r="C28" t="s">
        <v>25</v>
      </c>
      <c r="D28" t="s">
        <v>6</v>
      </c>
      <c r="E28" t="s">
        <v>65</v>
      </c>
    </row>
    <row r="29" spans="1:11" x14ac:dyDescent="0.3">
      <c r="A29" t="s">
        <v>25</v>
      </c>
      <c r="B29" t="s">
        <v>66</v>
      </c>
      <c r="C29" t="s">
        <v>10</v>
      </c>
      <c r="D29" t="s">
        <v>10</v>
      </c>
      <c r="E29" t="s">
        <v>10</v>
      </c>
    </row>
    <row r="31" spans="1:11" x14ac:dyDescent="0.3">
      <c r="A31" t="s">
        <v>67</v>
      </c>
    </row>
    <row r="32" spans="1:11" x14ac:dyDescent="0.3">
      <c r="A32" t="s">
        <v>3</v>
      </c>
      <c r="B32" t="s">
        <v>68</v>
      </c>
      <c r="C32" t="s">
        <v>18</v>
      </c>
      <c r="D32" t="s">
        <v>69</v>
      </c>
      <c r="E32" t="s">
        <v>70</v>
      </c>
      <c r="F32" t="s">
        <v>19</v>
      </c>
      <c r="G32" t="s">
        <v>21</v>
      </c>
      <c r="H32" t="s">
        <v>71</v>
      </c>
      <c r="I32" t="s">
        <v>72</v>
      </c>
      <c r="J32" t="s">
        <v>73</v>
      </c>
      <c r="K32" t="s">
        <v>74</v>
      </c>
    </row>
    <row r="33" spans="1:11" x14ac:dyDescent="0.3">
      <c r="A33" t="s">
        <v>6</v>
      </c>
      <c r="B33" t="s">
        <v>25</v>
      </c>
      <c r="C33" t="s">
        <v>38</v>
      </c>
      <c r="D33" t="s">
        <v>75</v>
      </c>
      <c r="E33" t="s">
        <v>76</v>
      </c>
      <c r="F33" t="s">
        <v>26</v>
      </c>
      <c r="G33" t="s">
        <v>28</v>
      </c>
      <c r="H33" t="s">
        <v>77</v>
      </c>
      <c r="I33" t="s">
        <v>10</v>
      </c>
      <c r="J33" t="s">
        <v>78</v>
      </c>
      <c r="K33" t="s">
        <v>79</v>
      </c>
    </row>
    <row r="34" spans="1:11" x14ac:dyDescent="0.3">
      <c r="A34" t="s">
        <v>10</v>
      </c>
      <c r="B34" t="s">
        <v>10</v>
      </c>
      <c r="C34" t="s">
        <v>10</v>
      </c>
      <c r="D34" t="s">
        <v>10</v>
      </c>
      <c r="E34" t="s">
        <v>10</v>
      </c>
      <c r="F34" t="s">
        <v>10</v>
      </c>
      <c r="G34" t="s">
        <v>10</v>
      </c>
      <c r="H34" t="s">
        <v>80</v>
      </c>
      <c r="I34" t="s">
        <v>81</v>
      </c>
      <c r="J34" t="s">
        <v>75</v>
      </c>
      <c r="K34" t="s">
        <v>82</v>
      </c>
    </row>
    <row r="35" spans="1:11" x14ac:dyDescent="0.3">
      <c r="A35" t="s">
        <v>10</v>
      </c>
      <c r="B35" t="s">
        <v>10</v>
      </c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80</v>
      </c>
      <c r="I35" t="s">
        <v>83</v>
      </c>
      <c r="J35" t="s">
        <v>84</v>
      </c>
      <c r="K35" t="s">
        <v>85</v>
      </c>
    </row>
    <row r="36" spans="1:11" x14ac:dyDescent="0.3">
      <c r="A36" t="s">
        <v>10</v>
      </c>
      <c r="B36" t="s">
        <v>10</v>
      </c>
      <c r="C36" t="s">
        <v>10</v>
      </c>
      <c r="D36" t="s">
        <v>10</v>
      </c>
      <c r="E36" t="s">
        <v>10</v>
      </c>
      <c r="F36" t="s">
        <v>10</v>
      </c>
      <c r="G36" t="s">
        <v>10</v>
      </c>
      <c r="H36" t="s">
        <v>80</v>
      </c>
      <c r="I36" t="s">
        <v>86</v>
      </c>
      <c r="J36" t="s">
        <v>87</v>
      </c>
      <c r="K36" t="s">
        <v>88</v>
      </c>
    </row>
    <row r="38" spans="1:11" x14ac:dyDescent="0.3">
      <c r="A38" t="s">
        <v>89</v>
      </c>
    </row>
    <row r="39" spans="1:11" x14ac:dyDescent="0.3">
      <c r="A39" t="s">
        <v>90</v>
      </c>
      <c r="B39" t="s">
        <v>91</v>
      </c>
      <c r="C39" t="s">
        <v>92</v>
      </c>
      <c r="D39" t="s">
        <v>93</v>
      </c>
      <c r="E39" t="s">
        <v>94</v>
      </c>
    </row>
    <row r="40" spans="1:11" x14ac:dyDescent="0.3">
      <c r="A40">
        <f>'raw data'!Q44</f>
        <v>140</v>
      </c>
      <c r="B40">
        <v>100</v>
      </c>
      <c r="C40" t="s">
        <v>95</v>
      </c>
      <c r="D40" t="s">
        <v>26</v>
      </c>
      <c r="E40" s="174">
        <f>'raw data'!R44</f>
        <v>9.39</v>
      </c>
    </row>
    <row r="42" spans="1:11" x14ac:dyDescent="0.3">
      <c r="A42" t="s">
        <v>96</v>
      </c>
    </row>
    <row r="43" spans="1:11" x14ac:dyDescent="0.3">
      <c r="A43" t="s">
        <v>68</v>
      </c>
      <c r="B43" t="s">
        <v>18</v>
      </c>
      <c r="C43" t="s">
        <v>97</v>
      </c>
      <c r="D43" t="s">
        <v>3</v>
      </c>
      <c r="E43" t="s">
        <v>35</v>
      </c>
      <c r="F43" t="s">
        <v>36</v>
      </c>
      <c r="G43" t="s">
        <v>37</v>
      </c>
      <c r="H43" t="s">
        <v>98</v>
      </c>
      <c r="I43" t="s">
        <v>99</v>
      </c>
      <c r="J43" t="s">
        <v>100</v>
      </c>
      <c r="K43" t="s">
        <v>63</v>
      </c>
    </row>
    <row r="44" spans="1:11" x14ac:dyDescent="0.3">
      <c r="A44" t="s">
        <v>25</v>
      </c>
      <c r="B44" t="s">
        <v>26</v>
      </c>
      <c r="C44" t="s">
        <v>95</v>
      </c>
      <c r="D44">
        <f>'raw data'!P37</f>
        <v>80</v>
      </c>
      <c r="E44">
        <f>'raw data'!Q37</f>
        <v>5.2957999999999998</v>
      </c>
      <c r="F44">
        <f>'raw data'!R37</f>
        <v>5.2999000000000001</v>
      </c>
      <c r="G44">
        <f>'raw data'!S37</f>
        <v>5.3005000000000004</v>
      </c>
      <c r="H44">
        <f>'raw data'!T37</f>
        <v>5.3002000000000002</v>
      </c>
      <c r="I44">
        <f>'raw data'!U37</f>
        <v>5.2969999999999997</v>
      </c>
      <c r="J44" t="s">
        <v>10</v>
      </c>
      <c r="K44" t="e">
        <f>'raw data'!P41:Y41</f>
        <v>#VALUE!</v>
      </c>
    </row>
    <row r="45" spans="1:11" x14ac:dyDescent="0.3">
      <c r="D45">
        <f>'raw data'!P38</f>
        <v>100</v>
      </c>
      <c r="E45">
        <f>'raw data'!Q38</f>
        <v>9.4794</v>
      </c>
      <c r="F45">
        <f>'raw data'!R38</f>
        <v>9.4793000000000003</v>
      </c>
      <c r="G45">
        <f>'raw data'!S38</f>
        <v>9.4732000000000003</v>
      </c>
      <c r="H45">
        <f>'raw data'!T38</f>
        <v>9.4781999999999993</v>
      </c>
      <c r="I45">
        <f>'raw data'!U38</f>
        <v>9.4741999999999997</v>
      </c>
    </row>
    <row r="46" spans="1:11" x14ac:dyDescent="0.3">
      <c r="D46">
        <f>'raw data'!P39</f>
        <v>120</v>
      </c>
      <c r="E46">
        <f>'raw data'!Q39</f>
        <v>14.521599999999999</v>
      </c>
      <c r="F46">
        <f>'raw data'!R39</f>
        <v>14.5259</v>
      </c>
      <c r="G46">
        <f>'raw data'!S39</f>
        <v>14.532299999999999</v>
      </c>
      <c r="H46">
        <f>'raw data'!T39</f>
        <v>14.526</v>
      </c>
      <c r="I46">
        <f>'raw data'!U38</f>
        <v>9.4741999999999997</v>
      </c>
    </row>
    <row r="47" spans="1:11" x14ac:dyDescent="0.3">
      <c r="D47">
        <f>'raw data'!P40</f>
        <v>140</v>
      </c>
      <c r="E47">
        <f>'raw data'!Q40</f>
        <v>20.186800000000002</v>
      </c>
      <c r="F47">
        <f>'raw data'!R40</f>
        <v>20.193899999999999</v>
      </c>
      <c r="G47">
        <f>'raw data'!S40</f>
        <v>20.188400000000001</v>
      </c>
      <c r="H47">
        <f>'raw data'!T40</f>
        <v>20.187999999999999</v>
      </c>
      <c r="I47">
        <f>'raw data'!U40</f>
        <v>20.197600000000001</v>
      </c>
    </row>
    <row r="50" spans="1:13" x14ac:dyDescent="0.3">
      <c r="A50" t="s">
        <v>102</v>
      </c>
    </row>
    <row r="51" spans="1:13" x14ac:dyDescent="0.3">
      <c r="A51" t="s">
        <v>62</v>
      </c>
      <c r="B51" t="s">
        <v>4</v>
      </c>
      <c r="C51" t="s">
        <v>103</v>
      </c>
      <c r="D51" t="s">
        <v>104</v>
      </c>
      <c r="E51" t="s">
        <v>105</v>
      </c>
      <c r="F51" t="s">
        <v>19</v>
      </c>
      <c r="G51" t="s">
        <v>106</v>
      </c>
      <c r="H51" t="s">
        <v>107</v>
      </c>
      <c r="I51" t="s">
        <v>108</v>
      </c>
      <c r="J51" t="s">
        <v>109</v>
      </c>
      <c r="K51" t="s">
        <v>110</v>
      </c>
      <c r="L51" t="s">
        <v>111</v>
      </c>
      <c r="M51" t="s">
        <v>112</v>
      </c>
    </row>
    <row r="52" spans="1:13" x14ac:dyDescent="0.3">
      <c r="A52" t="s">
        <v>6</v>
      </c>
      <c r="B52" t="s">
        <v>25</v>
      </c>
      <c r="C52" t="s">
        <v>95</v>
      </c>
      <c r="D52" t="s">
        <v>113</v>
      </c>
      <c r="E52" t="s">
        <v>114</v>
      </c>
      <c r="F52" t="s">
        <v>95</v>
      </c>
      <c r="G52" t="s">
        <v>115</v>
      </c>
      <c r="H52" t="s">
        <v>116</v>
      </c>
      <c r="I52" t="s">
        <v>117</v>
      </c>
      <c r="J52" t="s">
        <v>101</v>
      </c>
      <c r="K52" t="s">
        <v>118</v>
      </c>
      <c r="L52" t="s">
        <v>119</v>
      </c>
      <c r="M52" t="s">
        <v>120</v>
      </c>
    </row>
    <row r="53" spans="1:13" x14ac:dyDescent="0.3">
      <c r="A53" t="s">
        <v>10</v>
      </c>
      <c r="B53" t="s">
        <v>10</v>
      </c>
      <c r="C53" t="s">
        <v>10</v>
      </c>
      <c r="D53" t="s">
        <v>10</v>
      </c>
      <c r="E53" t="s">
        <v>10</v>
      </c>
      <c r="F53" t="s">
        <v>10</v>
      </c>
      <c r="G53" t="s">
        <v>10</v>
      </c>
      <c r="H53" t="s">
        <v>10</v>
      </c>
      <c r="I53" t="s">
        <v>121</v>
      </c>
      <c r="J53" t="s">
        <v>122</v>
      </c>
      <c r="K53" t="s">
        <v>122</v>
      </c>
      <c r="L53" t="s">
        <v>118</v>
      </c>
      <c r="M53" t="s">
        <v>123</v>
      </c>
    </row>
    <row r="55" spans="1:13" x14ac:dyDescent="0.3">
      <c r="A55" t="s">
        <v>124</v>
      </c>
    </row>
    <row r="56" spans="1:13" x14ac:dyDescent="0.3">
      <c r="A56" t="s">
        <v>125</v>
      </c>
      <c r="B56" t="s">
        <v>126</v>
      </c>
      <c r="C56" t="s">
        <v>3</v>
      </c>
      <c r="D56" t="s">
        <v>4</v>
      </c>
      <c r="E56" t="s">
        <v>93</v>
      </c>
      <c r="F56" t="s">
        <v>127</v>
      </c>
    </row>
    <row r="57" spans="1:13" x14ac:dyDescent="0.3">
      <c r="A57" t="s">
        <v>11</v>
      </c>
      <c r="B57" t="s">
        <v>95</v>
      </c>
      <c r="C57" t="s">
        <v>6</v>
      </c>
      <c r="D57" t="s">
        <v>7</v>
      </c>
      <c r="E57" t="s">
        <v>26</v>
      </c>
      <c r="F57" t="s">
        <v>128</v>
      </c>
    </row>
    <row r="59" spans="1:13" x14ac:dyDescent="0.3">
      <c r="A59" t="s">
        <v>129</v>
      </c>
    </row>
    <row r="60" spans="1:13" x14ac:dyDescent="0.3">
      <c r="A60" t="s">
        <v>125</v>
      </c>
      <c r="B60" t="s">
        <v>130</v>
      </c>
      <c r="C60" t="s">
        <v>3</v>
      </c>
      <c r="D60" t="s">
        <v>68</v>
      </c>
      <c r="E60" t="s">
        <v>93</v>
      </c>
      <c r="F60" t="s">
        <v>127</v>
      </c>
    </row>
    <row r="61" spans="1:13" x14ac:dyDescent="0.3">
      <c r="A61" t="s">
        <v>131</v>
      </c>
      <c r="B61" t="s">
        <v>38</v>
      </c>
      <c r="C61" t="s">
        <v>6</v>
      </c>
      <c r="D61" t="s">
        <v>7</v>
      </c>
      <c r="E61" t="s">
        <v>26</v>
      </c>
      <c r="F61" t="s">
        <v>128</v>
      </c>
    </row>
    <row r="67" spans="1:9" x14ac:dyDescent="0.3">
      <c r="A67" t="s">
        <v>132</v>
      </c>
    </row>
    <row r="68" spans="1:9" x14ac:dyDescent="0.3">
      <c r="A68" t="s">
        <v>133</v>
      </c>
      <c r="B68" t="s">
        <v>134</v>
      </c>
      <c r="C68" t="s">
        <v>2</v>
      </c>
      <c r="D68" t="s">
        <v>135</v>
      </c>
      <c r="E68" t="s">
        <v>136</v>
      </c>
      <c r="F68" t="s">
        <v>3</v>
      </c>
      <c r="G68" t="s">
        <v>4</v>
      </c>
      <c r="H68" t="s">
        <v>93</v>
      </c>
    </row>
    <row r="69" spans="1:9" x14ac:dyDescent="0.3">
      <c r="A69" t="s">
        <v>39</v>
      </c>
      <c r="B69" t="s">
        <v>39</v>
      </c>
      <c r="C69" t="s">
        <v>40</v>
      </c>
      <c r="D69" t="s">
        <v>137</v>
      </c>
      <c r="E69" t="s">
        <v>25</v>
      </c>
      <c r="F69" t="s">
        <v>6</v>
      </c>
      <c r="G69" t="s">
        <v>7</v>
      </c>
      <c r="H69" t="s">
        <v>38</v>
      </c>
    </row>
    <row r="70" spans="1:9" x14ac:dyDescent="0.3">
      <c r="A70" t="s">
        <v>43</v>
      </c>
      <c r="B70" t="s">
        <v>43</v>
      </c>
      <c r="C70" t="s">
        <v>138</v>
      </c>
      <c r="D70" t="s">
        <v>10</v>
      </c>
      <c r="E70" t="s">
        <v>10</v>
      </c>
      <c r="F70" t="s">
        <v>10</v>
      </c>
      <c r="G70" t="s">
        <v>10</v>
      </c>
      <c r="H70" t="s">
        <v>10</v>
      </c>
    </row>
    <row r="72" spans="1:9" x14ac:dyDescent="0.3">
      <c r="A72" t="s">
        <v>139</v>
      </c>
    </row>
    <row r="73" spans="1:9" x14ac:dyDescent="0.3">
      <c r="A73" t="s">
        <v>71</v>
      </c>
      <c r="B73" t="s">
        <v>140</v>
      </c>
      <c r="C73" t="s">
        <v>141</v>
      </c>
    </row>
    <row r="74" spans="1:9" x14ac:dyDescent="0.3">
      <c r="A74" t="s">
        <v>142</v>
      </c>
      <c r="B74" t="s">
        <v>143</v>
      </c>
      <c r="C74" t="s">
        <v>144</v>
      </c>
    </row>
    <row r="75" spans="1:9" x14ac:dyDescent="0.3">
      <c r="A75" t="s">
        <v>145</v>
      </c>
      <c r="B75" t="s">
        <v>137</v>
      </c>
      <c r="C75" t="s">
        <v>131</v>
      </c>
    </row>
    <row r="76" spans="1:9" x14ac:dyDescent="0.3">
      <c r="A76" t="s">
        <v>145</v>
      </c>
      <c r="B76" t="s">
        <v>146</v>
      </c>
      <c r="C76" t="s">
        <v>147</v>
      </c>
    </row>
    <row r="78" spans="1:9" x14ac:dyDescent="0.3">
      <c r="A78" t="s">
        <v>148</v>
      </c>
    </row>
    <row r="79" spans="1:9" x14ac:dyDescent="0.3">
      <c r="A79" t="s">
        <v>108</v>
      </c>
      <c r="B79" t="s">
        <v>149</v>
      </c>
      <c r="C79" t="s">
        <v>150</v>
      </c>
      <c r="D79" t="s">
        <v>151</v>
      </c>
      <c r="E79" t="s">
        <v>152</v>
      </c>
      <c r="F79" t="s">
        <v>4</v>
      </c>
      <c r="G79" t="s">
        <v>62</v>
      </c>
      <c r="H79" t="s">
        <v>92</v>
      </c>
      <c r="I79" t="s">
        <v>104</v>
      </c>
    </row>
    <row r="80" spans="1:9" x14ac:dyDescent="0.3">
      <c r="A80" t="s">
        <v>153</v>
      </c>
      <c r="B80" t="s">
        <v>122</v>
      </c>
      <c r="C80" t="s">
        <v>154</v>
      </c>
      <c r="D80" t="s">
        <v>155</v>
      </c>
      <c r="E80" t="s">
        <v>156</v>
      </c>
      <c r="F80" t="s">
        <v>25</v>
      </c>
      <c r="G80" t="s">
        <v>22</v>
      </c>
      <c r="H80" t="s">
        <v>131</v>
      </c>
      <c r="I80" t="s">
        <v>157</v>
      </c>
    </row>
    <row r="81" spans="1:9" x14ac:dyDescent="0.3">
      <c r="A81" t="s">
        <v>158</v>
      </c>
      <c r="B81" t="s">
        <v>101</v>
      </c>
      <c r="C81" t="s">
        <v>154</v>
      </c>
      <c r="D81" t="s">
        <v>10</v>
      </c>
      <c r="E81" t="s">
        <v>10</v>
      </c>
      <c r="F81" t="s">
        <v>10</v>
      </c>
      <c r="G81" t="s">
        <v>10</v>
      </c>
      <c r="H81" t="s">
        <v>10</v>
      </c>
      <c r="I81" t="s">
        <v>10</v>
      </c>
    </row>
  </sheetData>
  <pageMargins left="0.7" right="0.7" top="0.75" bottom="0.75" header="0.3" footer="0.3"/>
  <ignoredErrors>
    <ignoredError sqref="A1:M2 A5:M7 A4:H4 J4:M4 B3:M3 A12:M21 A9 C9:M9 A10 C10:M10 A11 C11:M11 A66:M81 A8 C8:M8 A50:M62 A44:C44 J44 A45:C45 J45:M45 L44:M44 A41:M43 C40:D40 F40:M40 A26:M39 A22:C22 G22:M22 A23:C23 F23:M23 A24:C24 F24:M2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abSelected="1" topLeftCell="F25" workbookViewId="0">
      <selection activeCell="Z33" sqref="Z33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159</v>
      </c>
      <c r="B1" s="342" t="s">
        <v>160</v>
      </c>
      <c r="C1" s="342"/>
      <c r="D1" s="342"/>
      <c r="E1" s="342"/>
      <c r="F1" s="342"/>
      <c r="G1" s="342"/>
      <c r="H1" s="342"/>
      <c r="I1" s="342"/>
      <c r="J1" s="2"/>
      <c r="K1" s="346"/>
      <c r="L1" s="346"/>
      <c r="M1" s="346"/>
      <c r="N1" s="222"/>
      <c r="O1" s="222"/>
      <c r="P1" s="3"/>
    </row>
    <row r="2" spans="1:27" x14ac:dyDescent="0.3">
      <c r="A2" s="4" t="s">
        <v>161</v>
      </c>
      <c r="B2" s="342" t="s">
        <v>162</v>
      </c>
      <c r="C2" s="342"/>
      <c r="D2" s="342"/>
      <c r="E2" s="342"/>
      <c r="F2" s="342"/>
      <c r="G2" s="342"/>
      <c r="H2" s="342"/>
      <c r="I2" s="342"/>
      <c r="J2" s="2"/>
      <c r="K2" s="2"/>
      <c r="L2" s="2"/>
      <c r="M2" s="2"/>
      <c r="N2" s="2"/>
      <c r="O2" s="2"/>
    </row>
    <row r="3" spans="1:27" x14ac:dyDescent="0.3">
      <c r="A3" s="4"/>
      <c r="B3" s="342" t="s">
        <v>163</v>
      </c>
      <c r="C3" s="342"/>
      <c r="D3" s="342"/>
      <c r="E3" s="342"/>
      <c r="F3" s="342"/>
      <c r="G3" s="342"/>
      <c r="H3" s="342"/>
      <c r="I3" s="342"/>
      <c r="J3" s="2"/>
      <c r="K3" s="2"/>
      <c r="L3" s="2"/>
      <c r="M3" s="2"/>
      <c r="N3" s="2"/>
      <c r="O3" s="2"/>
    </row>
    <row r="4" spans="1:27" x14ac:dyDescent="0.3">
      <c r="A4" s="5" t="s">
        <v>164</v>
      </c>
      <c r="B4" s="342"/>
      <c r="C4" s="342"/>
      <c r="D4" s="342"/>
      <c r="E4" s="342"/>
      <c r="F4" s="342"/>
      <c r="G4" s="342"/>
      <c r="H4" s="342"/>
      <c r="I4" s="342"/>
      <c r="J4" s="2"/>
      <c r="K4" s="2"/>
      <c r="L4" s="2"/>
      <c r="M4" s="2"/>
      <c r="N4" s="2"/>
      <c r="O4" s="2"/>
    </row>
    <row r="5" spans="1:27" x14ac:dyDescent="0.3">
      <c r="A5" s="4" t="s">
        <v>165</v>
      </c>
      <c r="B5" s="342" t="s">
        <v>166</v>
      </c>
      <c r="C5" s="342"/>
      <c r="D5" s="342"/>
      <c r="E5" s="342"/>
      <c r="F5" s="4" t="s">
        <v>167</v>
      </c>
      <c r="G5" s="345">
        <v>22.7</v>
      </c>
      <c r="H5" s="345"/>
      <c r="I5" s="345"/>
      <c r="J5" s="2"/>
      <c r="K5" s="2"/>
      <c r="L5" s="2"/>
      <c r="M5" s="2"/>
      <c r="N5" s="2"/>
      <c r="O5" s="2"/>
    </row>
    <row r="6" spans="1:27" x14ac:dyDescent="0.3">
      <c r="A6" s="4" t="s">
        <v>168</v>
      </c>
      <c r="B6" s="342" t="s">
        <v>169</v>
      </c>
      <c r="C6" s="342"/>
      <c r="D6" s="342"/>
      <c r="E6" s="342"/>
      <c r="F6" s="4" t="s">
        <v>170</v>
      </c>
      <c r="G6" s="345">
        <v>50.2</v>
      </c>
      <c r="H6" s="345"/>
      <c r="I6" s="345"/>
      <c r="J6" s="2"/>
      <c r="K6" s="2"/>
      <c r="L6" s="2"/>
      <c r="M6" s="2"/>
      <c r="N6" s="2"/>
      <c r="O6" s="2"/>
    </row>
    <row r="7" spans="1:27" x14ac:dyDescent="0.3">
      <c r="A7" s="4" t="s">
        <v>171</v>
      </c>
      <c r="B7" s="342" t="s">
        <v>172</v>
      </c>
      <c r="C7" s="342"/>
      <c r="D7" s="342"/>
      <c r="E7" s="342"/>
      <c r="F7" s="4" t="s">
        <v>71</v>
      </c>
      <c r="G7" s="342" t="s">
        <v>173</v>
      </c>
      <c r="H7" s="342"/>
      <c r="I7" s="342"/>
      <c r="J7" s="2"/>
      <c r="K7" s="2"/>
      <c r="L7" s="2"/>
      <c r="M7" s="2"/>
      <c r="N7" s="2"/>
    </row>
    <row r="8" spans="1:27" x14ac:dyDescent="0.3">
      <c r="A8" s="4" t="s">
        <v>174</v>
      </c>
      <c r="B8" s="341">
        <v>46066</v>
      </c>
      <c r="C8" s="342"/>
      <c r="D8" s="342"/>
      <c r="E8" s="342"/>
      <c r="F8" s="4"/>
      <c r="G8" s="342"/>
      <c r="H8" s="342"/>
      <c r="I8" s="342"/>
      <c r="J8" s="2"/>
      <c r="K8" s="2"/>
      <c r="L8" s="2"/>
      <c r="M8" s="2"/>
      <c r="N8" s="2"/>
    </row>
    <row r="9" spans="1:27" ht="14.4" customHeight="1" x14ac:dyDescent="0.3">
      <c r="A9" s="4"/>
      <c r="B9" s="336"/>
      <c r="C9" s="336"/>
      <c r="D9" s="336"/>
      <c r="E9" s="336"/>
      <c r="F9" s="5"/>
      <c r="G9" s="336"/>
      <c r="H9" s="336"/>
      <c r="I9" s="336"/>
      <c r="J9" s="2"/>
      <c r="K9" s="2"/>
      <c r="L9" s="2"/>
      <c r="M9" s="2"/>
      <c r="N9" s="2"/>
    </row>
    <row r="10" spans="1:27" ht="16.2" thickBot="1" x14ac:dyDescent="0.35">
      <c r="A10" s="7" t="s">
        <v>175</v>
      </c>
      <c r="B10" s="343" t="s">
        <v>176</v>
      </c>
      <c r="C10" s="343"/>
      <c r="D10" s="343"/>
      <c r="E10" s="343"/>
      <c r="F10" s="343"/>
      <c r="G10" s="343"/>
      <c r="H10" s="343"/>
      <c r="I10" s="344"/>
      <c r="J10" s="2"/>
      <c r="K10" s="2"/>
      <c r="L10" s="2"/>
      <c r="M10" s="2"/>
      <c r="N10" s="2"/>
    </row>
    <row r="11" spans="1:27" ht="16.2" thickBot="1" x14ac:dyDescent="0.35">
      <c r="A11" s="183" t="s">
        <v>177</v>
      </c>
      <c r="B11" s="184"/>
      <c r="C11" s="185"/>
      <c r="D11" s="184" t="s">
        <v>178</v>
      </c>
      <c r="E11" s="184"/>
      <c r="F11" s="184"/>
      <c r="G11" s="184"/>
      <c r="H11" s="184"/>
      <c r="I11" s="185"/>
      <c r="J11" s="9"/>
      <c r="K11" s="9"/>
      <c r="L11" s="9"/>
      <c r="M11" s="9"/>
      <c r="N11" s="9"/>
      <c r="P11" s="331" t="s">
        <v>179</v>
      </c>
      <c r="Q11" s="332"/>
      <c r="R11" s="332"/>
      <c r="S11" s="332"/>
      <c r="T11" s="332"/>
      <c r="U11" s="332"/>
      <c r="V11" s="332"/>
      <c r="W11" s="332"/>
      <c r="X11" s="333"/>
    </row>
    <row r="12" spans="1:27" ht="16.2" thickBot="1" x14ac:dyDescent="0.35">
      <c r="A12" s="10" t="s">
        <v>180</v>
      </c>
      <c r="B12" s="11" t="s">
        <v>4</v>
      </c>
      <c r="C12" s="11" t="s">
        <v>103</v>
      </c>
      <c r="D12" s="11" t="s">
        <v>180</v>
      </c>
      <c r="E12" s="11" t="s">
        <v>181</v>
      </c>
      <c r="F12" s="11" t="s">
        <v>182</v>
      </c>
      <c r="G12" s="11" t="s">
        <v>183</v>
      </c>
      <c r="H12" s="11" t="s">
        <v>184</v>
      </c>
      <c r="I12" s="12" t="s">
        <v>185</v>
      </c>
      <c r="J12" s="9"/>
      <c r="K12" s="9"/>
      <c r="L12" s="9"/>
      <c r="M12" s="9" t="s">
        <v>62</v>
      </c>
      <c r="N12" s="9" t="s">
        <v>186</v>
      </c>
      <c r="P12" s="334" t="s">
        <v>187</v>
      </c>
      <c r="Q12" s="336" t="s">
        <v>188</v>
      </c>
      <c r="R12" s="336"/>
      <c r="S12" s="336"/>
      <c r="T12" s="337" t="s">
        <v>189</v>
      </c>
      <c r="U12" s="305" t="s">
        <v>190</v>
      </c>
      <c r="V12" s="337"/>
      <c r="W12" s="5"/>
      <c r="X12" s="339" t="s">
        <v>191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335"/>
      <c r="Q13" s="17">
        <f>B14</f>
        <v>10</v>
      </c>
      <c r="R13" s="17">
        <f>B17</f>
        <v>100</v>
      </c>
      <c r="S13" s="17">
        <f>B22</f>
        <v>350</v>
      </c>
      <c r="T13" s="338"/>
      <c r="U13" s="216"/>
      <c r="V13" s="338"/>
      <c r="W13" s="19"/>
      <c r="X13" s="34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192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193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194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325" t="s">
        <v>195</v>
      </c>
      <c r="Q18" s="326"/>
      <c r="R18" s="326"/>
      <c r="S18" s="326"/>
      <c r="T18" s="326"/>
      <c r="U18" s="326"/>
      <c r="V18" s="327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89"/>
      <c r="Q19" s="289"/>
      <c r="R19" s="289"/>
      <c r="S19" s="289"/>
      <c r="T19" s="289"/>
      <c r="U19" s="289"/>
      <c r="V19" s="28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310" t="s">
        <v>196</v>
      </c>
      <c r="Q20" s="311"/>
      <c r="R20" s="311"/>
      <c r="S20" s="311"/>
      <c r="T20" s="311"/>
      <c r="U20" s="313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328" t="s">
        <v>197</v>
      </c>
      <c r="Q21" s="329"/>
      <c r="R21" s="330" t="s">
        <v>198</v>
      </c>
      <c r="S21" s="329"/>
      <c r="T21" s="14" t="s">
        <v>199</v>
      </c>
      <c r="U21" s="43" t="s">
        <v>60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200</v>
      </c>
      <c r="M22">
        <f t="shared" si="1"/>
        <v>79.8</v>
      </c>
      <c r="N22">
        <f t="shared" si="0"/>
        <v>18.497399999999999</v>
      </c>
      <c r="P22" s="316">
        <f>C14</f>
        <v>1</v>
      </c>
      <c r="Q22" s="317"/>
      <c r="R22" s="318">
        <f>ROUND(E14/1000,4)</f>
        <v>1.0092000000000001</v>
      </c>
      <c r="S22" s="318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316">
        <f>C15</f>
        <v>2</v>
      </c>
      <c r="Q23" s="317"/>
      <c r="R23" s="318">
        <f>ROUND(E15/1000,4)</f>
        <v>2.0093999999999999</v>
      </c>
      <c r="S23" s="318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316">
        <f>C16</f>
        <v>3</v>
      </c>
      <c r="Q24" s="317"/>
      <c r="R24" s="318">
        <f>ROUND(E16/1000,4)</f>
        <v>3.0081000000000002</v>
      </c>
      <c r="S24" s="318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319" t="s">
        <v>201</v>
      </c>
      <c r="Q25" s="320"/>
      <c r="R25" s="320"/>
      <c r="S25" s="320"/>
      <c r="T25" s="320"/>
      <c r="U25" s="321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322" t="s">
        <v>202</v>
      </c>
      <c r="Q27" s="323"/>
      <c r="R27" s="324"/>
      <c r="S27" s="47" t="s">
        <v>180</v>
      </c>
      <c r="T27" s="47">
        <f>A34</f>
        <v>120</v>
      </c>
      <c r="U27" s="47" t="s">
        <v>203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204</v>
      </c>
      <c r="Q28" s="305" t="s">
        <v>205</v>
      </c>
      <c r="R28" s="305"/>
      <c r="S28" s="305"/>
      <c r="T28" s="14" t="s">
        <v>206</v>
      </c>
      <c r="U28" s="14" t="s">
        <v>207</v>
      </c>
      <c r="V28" s="5"/>
      <c r="W28" s="5"/>
      <c r="X28" s="43" t="s">
        <v>190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200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306">
        <f>ROUND((MAX(T29:T32)-MIN(T29:T32))/(MAX(T29:T32)+MIN(T29:T32)),4)</f>
        <v>1.4E-3</v>
      </c>
      <c r="V29" s="13"/>
      <c r="W29" s="5"/>
      <c r="X29" s="308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306"/>
      <c r="V30" s="13"/>
      <c r="W30" s="5"/>
      <c r="X30" s="308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306"/>
      <c r="V31" s="13"/>
      <c r="W31" s="5"/>
      <c r="X31" s="308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307"/>
      <c r="V32" s="18"/>
      <c r="W32" s="19"/>
      <c r="X32" s="309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10" t="s">
        <v>208</v>
      </c>
      <c r="Q33" s="211"/>
      <c r="R33" s="211"/>
      <c r="S33" s="211"/>
      <c r="T33" s="211"/>
      <c r="U33" s="211"/>
      <c r="V33" s="211"/>
      <c r="W33" s="211"/>
      <c r="X33" s="21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310" t="s">
        <v>209</v>
      </c>
      <c r="Q35" s="311"/>
      <c r="R35" s="311"/>
      <c r="S35" s="311"/>
      <c r="T35" s="311"/>
      <c r="U35" s="311"/>
      <c r="V35" s="312"/>
      <c r="W35" s="312"/>
      <c r="X35" s="312"/>
      <c r="Y35" s="313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90</v>
      </c>
      <c r="Q36" s="314" t="s">
        <v>205</v>
      </c>
      <c r="R36" s="314"/>
      <c r="S36" s="314"/>
      <c r="T36" s="314"/>
      <c r="U36" s="315"/>
      <c r="V36" s="18" t="s">
        <v>210</v>
      </c>
      <c r="W36" s="18" t="s">
        <v>211</v>
      </c>
      <c r="X36" s="17" t="s">
        <v>100</v>
      </c>
      <c r="Y36" s="57" t="s">
        <v>190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10" t="s">
        <v>212</v>
      </c>
      <c r="Q41" s="211"/>
      <c r="R41" s="211"/>
      <c r="S41" s="211"/>
      <c r="T41" s="211"/>
      <c r="U41" s="211"/>
      <c r="V41" s="211"/>
      <c r="W41" s="211"/>
      <c r="X41" s="211"/>
      <c r="Y41" s="21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200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180" t="s">
        <v>213</v>
      </c>
      <c r="Q43" s="296"/>
      <c r="R43" s="72" t="s">
        <v>185</v>
      </c>
      <c r="S43" s="73" t="s">
        <v>190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180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97" t="s">
        <v>214</v>
      </c>
      <c r="Q45" s="298"/>
      <c r="R45" s="298"/>
      <c r="S45" s="299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97"/>
      <c r="Q46" s="298"/>
      <c r="R46" s="298"/>
      <c r="S46" s="299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9"/>
      <c r="Q47" s="300"/>
      <c r="R47" s="300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200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301" t="s">
        <v>215</v>
      </c>
      <c r="B57" s="302"/>
      <c r="C57" s="302"/>
      <c r="D57" s="302"/>
      <c r="E57" s="302"/>
      <c r="F57" s="302"/>
      <c r="G57" s="302"/>
      <c r="H57" s="302"/>
      <c r="I57" s="303"/>
      <c r="J57" s="80"/>
    </row>
    <row r="58" spans="1:14" x14ac:dyDescent="0.3">
      <c r="A58" s="82"/>
      <c r="B58" s="83" t="s">
        <v>216</v>
      </c>
      <c r="C58" s="84"/>
      <c r="D58" s="84" t="s">
        <v>217</v>
      </c>
      <c r="E58" s="84"/>
      <c r="F58" s="84"/>
      <c r="G58" s="84" t="s">
        <v>218</v>
      </c>
      <c r="H58" s="84" t="s">
        <v>219</v>
      </c>
      <c r="I58" s="85"/>
    </row>
    <row r="59" spans="1:14" x14ac:dyDescent="0.3">
      <c r="A59" s="86"/>
      <c r="B59" s="87" t="s">
        <v>220</v>
      </c>
      <c r="C59" s="87" t="s">
        <v>221</v>
      </c>
      <c r="D59" s="87" t="s">
        <v>222</v>
      </c>
      <c r="E59" s="87" t="s">
        <v>223</v>
      </c>
      <c r="F59" s="87" t="s">
        <v>224</v>
      </c>
      <c r="G59" s="87" t="s">
        <v>225</v>
      </c>
      <c r="H59" s="291" t="s">
        <v>226</v>
      </c>
      <c r="I59" s="292"/>
    </row>
    <row r="60" spans="1:14" x14ac:dyDescent="0.3">
      <c r="A60" s="86"/>
      <c r="B60" s="2">
        <v>120</v>
      </c>
      <c r="C60" s="2">
        <v>100</v>
      </c>
      <c r="D60" s="2" t="s">
        <v>227</v>
      </c>
      <c r="E60">
        <v>1</v>
      </c>
      <c r="F60" t="s">
        <v>81</v>
      </c>
      <c r="H60" s="304">
        <v>18.12</v>
      </c>
      <c r="I60" s="304"/>
    </row>
    <row r="61" spans="1:14" x14ac:dyDescent="0.3">
      <c r="A61" s="86"/>
      <c r="F61" t="s">
        <v>83</v>
      </c>
      <c r="H61" s="287">
        <v>19.98</v>
      </c>
      <c r="I61" s="287"/>
    </row>
    <row r="62" spans="1:14" x14ac:dyDescent="0.3">
      <c r="A62" s="86"/>
      <c r="F62" t="s">
        <v>86</v>
      </c>
      <c r="H62" s="287">
        <v>18.7</v>
      </c>
      <c r="I62" s="287"/>
      <c r="J62" s="88"/>
      <c r="K62" s="88"/>
    </row>
    <row r="63" spans="1:14" x14ac:dyDescent="0.3">
      <c r="A63" s="86"/>
      <c r="F63" t="s">
        <v>228</v>
      </c>
      <c r="H63" s="287">
        <v>17.62</v>
      </c>
      <c r="I63" s="287"/>
      <c r="J63" s="88"/>
      <c r="K63" s="88"/>
    </row>
    <row r="64" spans="1:14" ht="16.2" thickBot="1" x14ac:dyDescent="0.35">
      <c r="A64" s="86"/>
      <c r="F64" t="s">
        <v>229</v>
      </c>
      <c r="H64" s="290">
        <v>18.79</v>
      </c>
      <c r="I64" s="290"/>
      <c r="J64" s="88"/>
      <c r="K64" s="88"/>
    </row>
    <row r="65" spans="1:19" ht="16.2" thickBot="1" x14ac:dyDescent="0.35">
      <c r="A65" s="86"/>
      <c r="B65" s="277" t="s">
        <v>230</v>
      </c>
      <c r="C65" s="278"/>
      <c r="D65" s="91">
        <v>18.05</v>
      </c>
      <c r="H65" s="294">
        <f>(H60/3)+(2/3*J65)</f>
        <v>18.555</v>
      </c>
      <c r="I65" s="295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60</v>
      </c>
      <c r="H66" s="242" t="str">
        <f>IF(K65&lt;20,"Pass","Fail")</f>
        <v>Pass</v>
      </c>
      <c r="I66" s="244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216</v>
      </c>
      <c r="D68" t="s">
        <v>231</v>
      </c>
      <c r="G68" t="s">
        <v>218</v>
      </c>
      <c r="H68" t="s">
        <v>232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220</v>
      </c>
      <c r="C69" s="87" t="s">
        <v>221</v>
      </c>
      <c r="D69" s="87" t="s">
        <v>222</v>
      </c>
      <c r="E69" s="87" t="s">
        <v>223</v>
      </c>
      <c r="F69" s="87" t="s">
        <v>224</v>
      </c>
      <c r="G69" s="87" t="s">
        <v>225</v>
      </c>
      <c r="H69" s="291" t="s">
        <v>226</v>
      </c>
      <c r="I69" s="292"/>
      <c r="P69" s="288"/>
      <c r="Q69" s="288"/>
      <c r="R69" s="289"/>
      <c r="S69" s="289"/>
    </row>
    <row r="70" spans="1:19" x14ac:dyDescent="0.3">
      <c r="A70" s="86"/>
      <c r="B70" s="2">
        <v>120</v>
      </c>
      <c r="C70" s="2">
        <v>100</v>
      </c>
      <c r="D70" s="2" t="s">
        <v>227</v>
      </c>
      <c r="E70">
        <v>1</v>
      </c>
      <c r="F70" t="s">
        <v>81</v>
      </c>
      <c r="H70" s="293">
        <v>5.5410000000000004</v>
      </c>
      <c r="I70" s="293"/>
      <c r="P70" s="288"/>
      <c r="Q70" s="288"/>
      <c r="R70" s="289"/>
      <c r="S70" s="289"/>
    </row>
    <row r="71" spans="1:19" x14ac:dyDescent="0.3">
      <c r="A71" s="86"/>
      <c r="F71" t="s">
        <v>83</v>
      </c>
      <c r="H71" s="287">
        <v>11.78</v>
      </c>
      <c r="I71" s="287"/>
      <c r="P71" s="288"/>
      <c r="Q71" s="288"/>
      <c r="R71" s="289"/>
      <c r="S71" s="289"/>
    </row>
    <row r="72" spans="1:19" x14ac:dyDescent="0.3">
      <c r="A72" s="86"/>
      <c r="F72" t="s">
        <v>86</v>
      </c>
      <c r="H72" s="287">
        <v>12.39</v>
      </c>
      <c r="I72" s="287"/>
      <c r="P72" s="288"/>
      <c r="Q72" s="288"/>
      <c r="R72" s="289"/>
      <c r="S72" s="289"/>
    </row>
    <row r="73" spans="1:19" x14ac:dyDescent="0.3">
      <c r="A73" s="86"/>
      <c r="F73" t="s">
        <v>228</v>
      </c>
      <c r="H73" s="287">
        <v>11.21</v>
      </c>
      <c r="I73" s="287"/>
      <c r="J73" s="88"/>
      <c r="K73" s="88"/>
      <c r="P73" s="288"/>
      <c r="Q73" s="288"/>
      <c r="R73" s="289"/>
      <c r="S73" s="289"/>
    </row>
    <row r="74" spans="1:19" ht="16.2" thickBot="1" x14ac:dyDescent="0.35">
      <c r="A74" s="86"/>
      <c r="F74" t="s">
        <v>229</v>
      </c>
      <c r="H74" s="290">
        <v>12.75</v>
      </c>
      <c r="I74" s="290"/>
      <c r="J74" s="95">
        <f>AVERAGE(H71:I74)</f>
        <v>12.032500000000001</v>
      </c>
      <c r="K74" s="92">
        <f>ABS(H75-D75)/D75*100</f>
        <v>4.2097852868708063</v>
      </c>
      <c r="P74" s="288"/>
      <c r="Q74" s="288"/>
      <c r="R74" s="289"/>
      <c r="S74" s="289"/>
    </row>
    <row r="75" spans="1:19" ht="16.2" thickBot="1" x14ac:dyDescent="0.35">
      <c r="A75" s="96"/>
      <c r="B75" s="277" t="s">
        <v>230</v>
      </c>
      <c r="C75" s="278"/>
      <c r="D75" s="91">
        <v>9.4700000000000006</v>
      </c>
      <c r="E75" s="97"/>
      <c r="F75" s="97"/>
      <c r="G75" s="97"/>
      <c r="H75" s="279">
        <f>(H70/3)+(2/3*J74)</f>
        <v>9.868666666666666</v>
      </c>
      <c r="I75" s="280"/>
      <c r="J75" s="98"/>
      <c r="K75" s="98"/>
    </row>
    <row r="76" spans="1:19" ht="16.2" thickBot="1" x14ac:dyDescent="0.35">
      <c r="G76" s="99" t="s">
        <v>60</v>
      </c>
      <c r="H76" s="180" t="str">
        <f>IF(K74&lt;20,"Pass","Fail")</f>
        <v>Pass</v>
      </c>
      <c r="I76" s="182"/>
    </row>
    <row r="77" spans="1:19" ht="16.2" thickBot="1" x14ac:dyDescent="0.35">
      <c r="A77" s="281" t="s">
        <v>233</v>
      </c>
      <c r="B77" s="282"/>
      <c r="C77" s="282"/>
      <c r="D77" s="282"/>
      <c r="E77" s="282"/>
      <c r="F77" s="282"/>
      <c r="G77" s="282"/>
      <c r="H77" s="282"/>
      <c r="I77" s="283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180" t="s">
        <v>234</v>
      </c>
      <c r="B80" s="181"/>
      <c r="C80" s="181"/>
      <c r="D80" s="47" t="s">
        <v>235</v>
      </c>
      <c r="E80" s="48" t="s">
        <v>236</v>
      </c>
      <c r="G80" s="88"/>
      <c r="H80" s="88"/>
      <c r="I80" s="88"/>
      <c r="J80" s="88"/>
      <c r="K80" s="88"/>
    </row>
    <row r="81" spans="1:11" ht="16.2" thickBot="1" x14ac:dyDescent="0.35">
      <c r="A81" s="101" t="s">
        <v>62</v>
      </c>
      <c r="B81" s="284" t="s">
        <v>4</v>
      </c>
      <c r="C81" s="285"/>
      <c r="D81" s="102" t="s">
        <v>237</v>
      </c>
      <c r="E81" s="103">
        <f t="array" ref="E81">INDEX($J$82:$J$84,MATCH(E80,$I$82:$I$84,0),0)</f>
        <v>0.5</v>
      </c>
      <c r="G81" s="88"/>
      <c r="H81" s="286"/>
      <c r="I81" s="286"/>
      <c r="J81" s="88"/>
      <c r="K81" s="88"/>
    </row>
    <row r="82" spans="1:11" ht="16.2" thickBot="1" x14ac:dyDescent="0.35">
      <c r="A82" s="104">
        <v>140</v>
      </c>
      <c r="B82" s="268">
        <v>15</v>
      </c>
      <c r="C82" s="268"/>
      <c r="D82" s="269" t="s">
        <v>238</v>
      </c>
      <c r="E82" s="106"/>
      <c r="G82" s="88"/>
      <c r="H82" s="107"/>
      <c r="I82" s="108" t="s">
        <v>239</v>
      </c>
      <c r="J82" s="109">
        <v>0.42</v>
      </c>
      <c r="K82" s="88"/>
    </row>
    <row r="83" spans="1:11" x14ac:dyDescent="0.3">
      <c r="A83" s="50" t="s">
        <v>240</v>
      </c>
      <c r="B83" s="272" t="s">
        <v>241</v>
      </c>
      <c r="C83" s="263"/>
      <c r="D83" s="270"/>
      <c r="E83" s="46" t="s">
        <v>242</v>
      </c>
      <c r="F83" s="110" t="s">
        <v>60</v>
      </c>
      <c r="G83" s="88"/>
      <c r="H83" s="107"/>
      <c r="I83" s="108" t="s">
        <v>236</v>
      </c>
      <c r="J83" s="109">
        <v>0.5</v>
      </c>
      <c r="K83" s="88"/>
    </row>
    <row r="84" spans="1:11" x14ac:dyDescent="0.3">
      <c r="A84" s="50">
        <v>1.25</v>
      </c>
      <c r="B84" s="273">
        <v>2.8</v>
      </c>
      <c r="C84" s="273"/>
      <c r="D84" s="270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243</v>
      </c>
      <c r="J84" s="109">
        <v>0.5</v>
      </c>
      <c r="K84" s="88"/>
    </row>
    <row r="85" spans="1:11" x14ac:dyDescent="0.3">
      <c r="A85" s="50">
        <v>2.5</v>
      </c>
      <c r="B85" s="274">
        <v>5</v>
      </c>
      <c r="C85" s="275"/>
      <c r="D85" s="270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76">
        <v>9.8000000000000007</v>
      </c>
      <c r="C86" s="276"/>
      <c r="D86" s="271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54" t="s">
        <v>244</v>
      </c>
      <c r="B87" s="255"/>
      <c r="C87" s="255"/>
      <c r="D87" s="255"/>
      <c r="E87" s="255"/>
      <c r="F87" s="256"/>
      <c r="G87" s="88"/>
      <c r="H87" s="88"/>
      <c r="I87" s="88"/>
      <c r="J87" s="88"/>
      <c r="K87" s="88"/>
    </row>
    <row r="88" spans="1:11" ht="16.2" thickBot="1" x14ac:dyDescent="0.35">
      <c r="A88" s="257"/>
      <c r="B88" s="258"/>
      <c r="C88" s="258"/>
      <c r="D88" s="258"/>
      <c r="E88" s="258"/>
      <c r="F88" s="259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62</v>
      </c>
      <c r="B90" s="47" t="s">
        <v>4</v>
      </c>
      <c r="C90" s="181" t="s">
        <v>245</v>
      </c>
      <c r="D90" s="181"/>
      <c r="E90" s="182"/>
    </row>
    <row r="91" spans="1:11" x14ac:dyDescent="0.3">
      <c r="A91" s="118">
        <v>120</v>
      </c>
      <c r="B91" s="20">
        <v>200</v>
      </c>
      <c r="C91" s="119" t="s">
        <v>127</v>
      </c>
      <c r="D91" s="260">
        <v>107</v>
      </c>
      <c r="E91" s="261"/>
      <c r="F91" s="120" t="s">
        <v>60</v>
      </c>
    </row>
    <row r="92" spans="1:11" ht="16.2" thickBot="1" x14ac:dyDescent="0.35">
      <c r="A92" s="262" t="s">
        <v>246</v>
      </c>
      <c r="B92" s="263"/>
      <c r="C92" s="264">
        <v>3</v>
      </c>
      <c r="D92" s="264"/>
      <c r="E92" s="264"/>
      <c r="F92" s="121" t="str">
        <f>IF(C92&lt;=5,"Pass","Fail")</f>
        <v>Pass</v>
      </c>
    </row>
    <row r="93" spans="1:11" ht="16.2" thickBot="1" x14ac:dyDescent="0.35">
      <c r="A93" s="265" t="s">
        <v>247</v>
      </c>
      <c r="B93" s="266"/>
      <c r="C93" s="266"/>
      <c r="D93" s="266"/>
      <c r="E93" s="267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62</v>
      </c>
      <c r="B95" s="126" t="s">
        <v>4</v>
      </c>
      <c r="C95" s="242" t="s">
        <v>248</v>
      </c>
      <c r="D95" s="243"/>
      <c r="E95" s="244"/>
    </row>
    <row r="96" spans="1:11" x14ac:dyDescent="0.3">
      <c r="A96" s="118">
        <v>140</v>
      </c>
      <c r="B96" s="20">
        <v>65</v>
      </c>
      <c r="C96" s="127" t="s">
        <v>127</v>
      </c>
      <c r="D96" s="245">
        <v>3691</v>
      </c>
      <c r="E96" s="246"/>
      <c r="F96" s="120" t="s">
        <v>60</v>
      </c>
    </row>
    <row r="97" spans="1:12" ht="16.2" thickBot="1" x14ac:dyDescent="0.35">
      <c r="A97" s="247" t="s">
        <v>246</v>
      </c>
      <c r="B97" s="248"/>
      <c r="C97" s="249">
        <v>6.25</v>
      </c>
      <c r="D97" s="249"/>
      <c r="E97" s="249"/>
      <c r="F97" s="121" t="str">
        <f>IF(C97&gt;=3.12,"Pass","Fail")</f>
        <v>Pass</v>
      </c>
    </row>
    <row r="98" spans="1:12" x14ac:dyDescent="0.3">
      <c r="A98" s="250" t="s">
        <v>249</v>
      </c>
      <c r="B98" s="251"/>
      <c r="C98" s="251"/>
      <c r="D98" s="251"/>
      <c r="E98" s="252"/>
    </row>
    <row r="99" spans="1:12" ht="16.2" thickBot="1" x14ac:dyDescent="0.35">
      <c r="A99" s="225"/>
      <c r="B99" s="253"/>
      <c r="C99" s="253"/>
      <c r="D99" s="253"/>
      <c r="E99" s="226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2" t="s">
        <v>250</v>
      </c>
      <c r="B101" s="243"/>
      <c r="C101" s="243"/>
      <c r="D101" s="243"/>
      <c r="E101" s="243"/>
      <c r="F101" s="243"/>
      <c r="G101" s="243"/>
      <c r="H101" s="243"/>
      <c r="I101" s="243"/>
      <c r="J101" s="244"/>
    </row>
    <row r="102" spans="1:12" ht="16.2" thickBot="1" x14ac:dyDescent="0.35">
      <c r="A102" s="89" t="s">
        <v>180</v>
      </c>
      <c r="B102" s="90" t="s">
        <v>251</v>
      </c>
      <c r="C102" s="77" t="s">
        <v>252</v>
      </c>
      <c r="D102" s="84"/>
      <c r="E102" s="89" t="s">
        <v>104</v>
      </c>
      <c r="F102" s="90">
        <v>500</v>
      </c>
      <c r="G102" s="129" t="s">
        <v>253</v>
      </c>
      <c r="H102" s="130"/>
      <c r="I102" s="219"/>
      <c r="J102" s="220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221"/>
      <c r="E103" s="222"/>
      <c r="F103" s="222"/>
      <c r="G103" s="223" t="s">
        <v>254</v>
      </c>
      <c r="H103" s="224"/>
      <c r="I103" s="227" t="s">
        <v>255</v>
      </c>
      <c r="J103" s="228"/>
      <c r="K103" s="231" t="s">
        <v>60</v>
      </c>
      <c r="L103" s="232"/>
    </row>
    <row r="104" spans="1:12" ht="16.2" thickBot="1" x14ac:dyDescent="0.35">
      <c r="A104" s="235" t="s">
        <v>117</v>
      </c>
      <c r="B104" s="134" t="s">
        <v>256</v>
      </c>
      <c r="C104" s="135" t="s">
        <v>257</v>
      </c>
      <c r="D104" s="135" t="s">
        <v>258</v>
      </c>
      <c r="E104" s="136" t="s">
        <v>259</v>
      </c>
      <c r="F104" s="135" t="s">
        <v>260</v>
      </c>
      <c r="G104" s="225"/>
      <c r="H104" s="226"/>
      <c r="I104" s="229"/>
      <c r="J104" s="230"/>
      <c r="K104" s="233"/>
      <c r="L104" s="234"/>
    </row>
    <row r="105" spans="1:12" ht="16.2" thickBot="1" x14ac:dyDescent="0.35">
      <c r="A105" s="194"/>
      <c r="B105" s="138"/>
      <c r="C105" s="139"/>
      <c r="D105" s="139"/>
      <c r="E105" s="140"/>
      <c r="F105" s="141" t="s">
        <v>149</v>
      </c>
      <c r="G105" s="236">
        <f>ROUND(F102*MAX(B105:E105)/(60*B103),3)</f>
        <v>0</v>
      </c>
      <c r="H105" s="237"/>
      <c r="I105" s="238">
        <f>ROUND(8.33*MAX(B105:F105)/(B103*114),3)</f>
        <v>0</v>
      </c>
      <c r="J105" s="239"/>
      <c r="K105" s="240" t="str">
        <f>IF(I105&lt;=1,"Pass","Fail")</f>
        <v>Pass</v>
      </c>
      <c r="L105" s="241"/>
    </row>
    <row r="106" spans="1:12" ht="16.2" thickBot="1" x14ac:dyDescent="0.35">
      <c r="A106" s="210" t="s">
        <v>261</v>
      </c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2"/>
    </row>
    <row r="108" spans="1:12" x14ac:dyDescent="0.3">
      <c r="A108" t="s">
        <v>262</v>
      </c>
    </row>
    <row r="109" spans="1:12" ht="16.2" thickBot="1" x14ac:dyDescent="0.35"/>
    <row r="110" spans="1:12" x14ac:dyDescent="0.3">
      <c r="A110" s="117" t="s">
        <v>62</v>
      </c>
      <c r="B110" s="47" t="s">
        <v>4</v>
      </c>
      <c r="C110" s="47" t="s">
        <v>263</v>
      </c>
      <c r="D110" s="48" t="s">
        <v>264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13" t="s">
        <v>108</v>
      </c>
      <c r="B113" s="214"/>
      <c r="C113" s="214"/>
      <c r="D113" s="214"/>
      <c r="E113" s="214" t="s">
        <v>265</v>
      </c>
      <c r="F113" s="214"/>
      <c r="G113" s="214" t="s">
        <v>266</v>
      </c>
      <c r="H113" s="214" t="s">
        <v>60</v>
      </c>
      <c r="I113" s="217" t="s">
        <v>267</v>
      </c>
    </row>
    <row r="114" spans="1:15" ht="15" customHeight="1" thickBot="1" x14ac:dyDescent="0.35">
      <c r="A114" s="215"/>
      <c r="B114" s="216"/>
      <c r="C114" s="216"/>
      <c r="D114" s="216"/>
      <c r="E114" s="216"/>
      <c r="F114" s="216"/>
      <c r="G114" s="216"/>
      <c r="H114" s="216"/>
      <c r="I114" s="218"/>
    </row>
    <row r="115" spans="1:15" ht="14.25" customHeight="1" x14ac:dyDescent="0.3">
      <c r="A115" s="205" t="s">
        <v>268</v>
      </c>
      <c r="B115" s="206"/>
      <c r="C115" s="206"/>
      <c r="D115" s="206"/>
      <c r="E115" s="144">
        <v>2.7E-2</v>
      </c>
      <c r="F115" s="145" t="s">
        <v>149</v>
      </c>
      <c r="G115" s="146">
        <f>ROUND((E115*D111)/(60*B111),3)</f>
        <v>0.22500000000000001</v>
      </c>
      <c r="H115" s="147" t="str">
        <f>IF(E115&lt;=2,"Pass","Fail")</f>
        <v>Pass</v>
      </c>
      <c r="I115" s="207" t="s">
        <v>269</v>
      </c>
    </row>
    <row r="116" spans="1:15" ht="14.25" customHeight="1" x14ac:dyDescent="0.3">
      <c r="A116" s="201" t="s">
        <v>270</v>
      </c>
      <c r="B116" s="202"/>
      <c r="C116" s="202"/>
      <c r="D116" s="202"/>
      <c r="E116" s="148">
        <v>4.3999999999999997E-2</v>
      </c>
      <c r="F116" s="6" t="s">
        <v>149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208"/>
    </row>
    <row r="117" spans="1:15" ht="14.25" customHeight="1" x14ac:dyDescent="0.3">
      <c r="A117" s="201" t="s">
        <v>271</v>
      </c>
      <c r="B117" s="202"/>
      <c r="C117" s="202"/>
      <c r="D117" s="202"/>
      <c r="E117" s="148">
        <v>3.4000000000000002E-2</v>
      </c>
      <c r="F117" s="6" t="s">
        <v>149</v>
      </c>
      <c r="G117" s="45">
        <f>ROUND((E117*D111)/(60*B111),3)</f>
        <v>0.28299999999999997</v>
      </c>
      <c r="H117" s="149" t="str">
        <f t="shared" si="11"/>
        <v>Pass</v>
      </c>
      <c r="I117" s="208"/>
    </row>
    <row r="118" spans="1:15" ht="14.25" customHeight="1" x14ac:dyDescent="0.3">
      <c r="A118" s="201" t="s">
        <v>272</v>
      </c>
      <c r="B118" s="202"/>
      <c r="C118" s="202"/>
      <c r="D118" s="202"/>
      <c r="E118" s="148">
        <v>0.04</v>
      </c>
      <c r="F118" s="6" t="s">
        <v>149</v>
      </c>
      <c r="G118" s="45">
        <f>ROUND((E118*D111)/(60*B111),3)</f>
        <v>0.33300000000000002</v>
      </c>
      <c r="H118" s="149" t="str">
        <f t="shared" si="11"/>
        <v>Pass</v>
      </c>
      <c r="I118" s="208"/>
    </row>
    <row r="119" spans="1:15" ht="14.7" customHeight="1" thickBot="1" x14ac:dyDescent="0.35">
      <c r="A119" s="203" t="s">
        <v>273</v>
      </c>
      <c r="B119" s="204"/>
      <c r="C119" s="204"/>
      <c r="D119" s="204"/>
      <c r="E119" s="150">
        <v>3.2000000000000001E-2</v>
      </c>
      <c r="F119" s="151" t="s">
        <v>149</v>
      </c>
      <c r="G119" s="152">
        <f>ROUND((E119*D111)/(60*B111),3)</f>
        <v>0.26700000000000002</v>
      </c>
      <c r="H119" s="153" t="str">
        <f t="shared" si="11"/>
        <v>Pass</v>
      </c>
      <c r="I119" s="209"/>
    </row>
    <row r="120" spans="1:15" ht="15" customHeight="1" x14ac:dyDescent="0.3">
      <c r="A120" s="196" t="s">
        <v>274</v>
      </c>
      <c r="B120" s="197"/>
      <c r="C120" s="197"/>
      <c r="D120" s="197"/>
      <c r="E120" s="154">
        <v>0.106</v>
      </c>
      <c r="F120" s="155" t="s">
        <v>149</v>
      </c>
      <c r="G120" s="156">
        <f>ROUND((E120*D111)/(60*B111),3)</f>
        <v>0.88300000000000001</v>
      </c>
      <c r="H120" s="157" t="str">
        <f>IF(E120&lt;=0.2,"Pass","Fail")</f>
        <v>Pass</v>
      </c>
      <c r="I120" s="198" t="s">
        <v>275</v>
      </c>
    </row>
    <row r="121" spans="1:15" ht="14.25" customHeight="1" x14ac:dyDescent="0.3">
      <c r="A121" s="201" t="s">
        <v>276</v>
      </c>
      <c r="B121" s="202"/>
      <c r="C121" s="202"/>
      <c r="D121" s="202"/>
      <c r="E121" s="148">
        <v>3.7999999999999999E-2</v>
      </c>
      <c r="F121" s="6" t="s">
        <v>149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199"/>
    </row>
    <row r="122" spans="1:15" ht="14.25" customHeight="1" x14ac:dyDescent="0.3">
      <c r="A122" s="201" t="s">
        <v>277</v>
      </c>
      <c r="B122" s="202"/>
      <c r="C122" s="202"/>
      <c r="D122" s="202"/>
      <c r="E122" s="148">
        <v>4.2000000000000003E-2</v>
      </c>
      <c r="F122" s="6" t="s">
        <v>149</v>
      </c>
      <c r="G122" s="45">
        <f>ROUND((E122*D111)/(60*B111),3)</f>
        <v>0.35</v>
      </c>
      <c r="H122" s="149" t="str">
        <f t="shared" si="12"/>
        <v>Pass</v>
      </c>
      <c r="I122" s="199"/>
    </row>
    <row r="123" spans="1:15" ht="14.7" customHeight="1" x14ac:dyDescent="0.3">
      <c r="A123" s="201" t="s">
        <v>278</v>
      </c>
      <c r="B123" s="202"/>
      <c r="C123" s="202"/>
      <c r="D123" s="202"/>
      <c r="E123" s="148">
        <v>2.4E-2</v>
      </c>
      <c r="F123" s="6" t="s">
        <v>149</v>
      </c>
      <c r="G123" s="45">
        <f>ROUND((E123*D111)/(60*B111),3)</f>
        <v>0.2</v>
      </c>
      <c r="H123" s="149" t="str">
        <f t="shared" si="12"/>
        <v>Pass</v>
      </c>
      <c r="I123" s="199"/>
    </row>
    <row r="124" spans="1:15" ht="14.7" customHeight="1" thickBot="1" x14ac:dyDescent="0.35">
      <c r="A124" s="203" t="s">
        <v>279</v>
      </c>
      <c r="B124" s="204"/>
      <c r="C124" s="204"/>
      <c r="D124" s="204"/>
      <c r="E124" s="150"/>
      <c r="F124" s="151" t="s">
        <v>149</v>
      </c>
      <c r="G124" s="152" t="s">
        <v>280</v>
      </c>
      <c r="H124" s="153" t="s">
        <v>280</v>
      </c>
      <c r="I124" s="200"/>
    </row>
    <row r="125" spans="1:15" ht="16.2" thickBot="1" x14ac:dyDescent="0.35">
      <c r="H125" s="88"/>
      <c r="I125" s="88"/>
    </row>
    <row r="126" spans="1:15" ht="16.2" thickBot="1" x14ac:dyDescent="0.35">
      <c r="A126" s="158" t="s">
        <v>281</v>
      </c>
      <c r="C126" s="159" t="s">
        <v>282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180" t="s">
        <v>283</v>
      </c>
      <c r="B127" s="181"/>
      <c r="C127" s="181"/>
      <c r="D127" s="181"/>
      <c r="E127" s="181"/>
      <c r="F127" s="181"/>
      <c r="G127" s="18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284</v>
      </c>
      <c r="B128" s="183" t="s">
        <v>285</v>
      </c>
      <c r="C128" s="184"/>
      <c r="D128" s="184"/>
      <c r="E128" s="185"/>
      <c r="F128" s="162" t="s">
        <v>286</v>
      </c>
      <c r="G128" s="163" t="s">
        <v>190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287</v>
      </c>
      <c r="C129" s="105"/>
      <c r="D129" s="164" t="s">
        <v>288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289</v>
      </c>
      <c r="C130" s="114"/>
      <c r="D130" s="165" t="s">
        <v>290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186" t="s">
        <v>291</v>
      </c>
      <c r="B131" s="176"/>
      <c r="C131" s="176"/>
      <c r="D131" s="176"/>
      <c r="E131" s="176"/>
      <c r="F131" s="176"/>
      <c r="G131" s="177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187" t="s">
        <v>292</v>
      </c>
      <c r="B132" s="188"/>
      <c r="C132" s="188"/>
      <c r="D132" s="188"/>
      <c r="E132" s="188"/>
      <c r="F132" s="188"/>
      <c r="G132" s="18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190"/>
      <c r="B133" s="191"/>
      <c r="C133" s="191"/>
      <c r="D133" s="191"/>
      <c r="E133" s="191"/>
      <c r="F133" s="191"/>
      <c r="G133" s="19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293</v>
      </c>
      <c r="B135" s="129"/>
      <c r="C135" s="129"/>
      <c r="D135" s="167">
        <v>0</v>
      </c>
      <c r="E135" s="168" t="s">
        <v>294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295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19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194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195" t="s">
        <v>296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195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175" t="s">
        <v>297</v>
      </c>
      <c r="B144" s="176"/>
      <c r="C144" s="176"/>
      <c r="D144" s="176"/>
      <c r="E144" s="176"/>
      <c r="F144" s="176"/>
      <c r="G144" s="177"/>
    </row>
    <row r="145" spans="1:7" ht="16.2" thickBot="1" x14ac:dyDescent="0.35">
      <c r="A145" s="175" t="s">
        <v>298</v>
      </c>
      <c r="B145" s="178"/>
      <c r="C145" s="178"/>
      <c r="D145" s="178"/>
      <c r="E145" s="178"/>
      <c r="F145" s="178"/>
      <c r="G145" s="179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</mergeCells>
  <phoneticPr fontId="14" type="noConversion"/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19" operator="containsText" text="Fail">
      <formula>NOT(ISERROR(SEARCH("Fail",F84)))</formula>
    </cfRule>
    <cfRule type="containsText" dxfId="36" priority="20" operator="containsText" text="Pass">
      <formula>NOT(ISERROR(SEARCH("Pass",F84)))</formula>
    </cfRule>
  </conditionalFormatting>
  <conditionalFormatting sqref="F92">
    <cfRule type="containsText" dxfId="35" priority="17" operator="containsText" text="Fail">
      <formula>NOT(ISERROR(SEARCH("Fail",F92)))</formula>
    </cfRule>
    <cfRule type="containsText" dxfId="34" priority="18" operator="containsText" text="Pass">
      <formula>NOT(ISERROR(SEARCH("Pass",F92)))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2" operator="containsText" text="Pass">
      <formula>NOT(ISERROR(SEARCH("Pass",H66)))</formula>
    </cfRule>
    <cfRule type="containsText" dxfId="24" priority="24" operator="containsText" text="Fail">
      <formula>NOT(ISERROR(SEARCH("Fail",H66)))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1" operator="containsText" text="Pass">
      <formula>NOT(ISERROR(SEARCH("Pass",H76)))</formula>
    </cfRule>
    <cfRule type="containsText" dxfId="21" priority="23" operator="containsText" text="Fail">
      <formula>NOT(ISERROR(SEARCH("Fail",H76)))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3" operator="containsText" text="Fail">
      <formula>NOT(ISERROR(SEARCH("Fail",K105)))</formula>
    </cfRule>
    <cfRule type="containsText" dxfId="16" priority="14" operator="containsText" text="Pass">
      <formula>NOT(ISERROR(SEARCH("Pass",K105)))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2026-03-16T09:03:29Z</dcterms:modified>
</cp:coreProperties>
</file>