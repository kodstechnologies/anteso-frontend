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7A5E99E0-14DB-46DE-947E-21895BFACF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T Scan Data" sheetId="1" r:id="rId1"/>
    <sheet name="Sheet2" sheetId="3" r:id="rId2"/>
  </sheets>
  <calcPr calcId="191029"/>
</workbook>
</file>

<file path=xl/calcChain.xml><?xml version="1.0" encoding="utf-8"?>
<calcChain xmlns="http://schemas.openxmlformats.org/spreadsheetml/2006/main">
  <c r="B11" i="1" l="1"/>
  <c r="B10" i="1"/>
  <c r="B9" i="1"/>
  <c r="G142" i="3"/>
  <c r="G143" i="3" s="1"/>
  <c r="F142" i="3"/>
  <c r="F143" i="3" s="1"/>
  <c r="E142" i="3"/>
  <c r="E143" i="3" s="1"/>
  <c r="G141" i="3"/>
  <c r="F141" i="3"/>
  <c r="E141" i="3"/>
  <c r="D141" i="3"/>
  <c r="D142" i="3" s="1"/>
  <c r="D143" i="3" s="1"/>
  <c r="C141" i="3"/>
  <c r="C142" i="3" s="1"/>
  <c r="C143" i="3" s="1"/>
  <c r="B141" i="3"/>
  <c r="F135" i="3"/>
  <c r="H130" i="3"/>
  <c r="F130" i="3" s="1"/>
  <c r="I130" i="3" s="1"/>
  <c r="G130" i="3" s="1"/>
  <c r="H129" i="3"/>
  <c r="F129" i="3" s="1"/>
  <c r="I129" i="3" s="1"/>
  <c r="G129" i="3" s="1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I105" i="3"/>
  <c r="K105" i="3" s="1"/>
  <c r="G105" i="3"/>
  <c r="F97" i="3"/>
  <c r="F92" i="3"/>
  <c r="G86" i="3"/>
  <c r="G85" i="3"/>
  <c r="G84" i="3"/>
  <c r="E81" i="3" a="1"/>
  <c r="E81" i="3" s="1"/>
  <c r="J74" i="3"/>
  <c r="H75" i="3" s="1"/>
  <c r="K74" i="3" s="1"/>
  <c r="H76" i="3" s="1"/>
  <c r="K65" i="3"/>
  <c r="H66" i="3" s="1"/>
  <c r="J65" i="3"/>
  <c r="H65" i="3"/>
  <c r="N51" i="3"/>
  <c r="M51" i="3"/>
  <c r="N50" i="3"/>
  <c r="U40" i="3" s="1"/>
  <c r="M50" i="3"/>
  <c r="N49" i="3"/>
  <c r="T40" i="3" s="1"/>
  <c r="M49" i="3"/>
  <c r="N48" i="3"/>
  <c r="M48" i="3"/>
  <c r="N47" i="3"/>
  <c r="M47" i="3"/>
  <c r="N46" i="3"/>
  <c r="M46" i="3"/>
  <c r="N45" i="3"/>
  <c r="M45" i="3"/>
  <c r="R44" i="3"/>
  <c r="S44" i="3" s="1"/>
  <c r="Q44" i="3"/>
  <c r="N44" i="3"/>
  <c r="M44" i="3"/>
  <c r="N43" i="3"/>
  <c r="R32" i="3" s="1"/>
  <c r="M43" i="3"/>
  <c r="N42" i="3"/>
  <c r="M42" i="3"/>
  <c r="N41" i="3"/>
  <c r="M41" i="3"/>
  <c r="S40" i="3"/>
  <c r="R40" i="3"/>
  <c r="Q40" i="3"/>
  <c r="P40" i="3"/>
  <c r="N40" i="3"/>
  <c r="M40" i="3"/>
  <c r="T39" i="3"/>
  <c r="S39" i="3"/>
  <c r="Q39" i="3"/>
  <c r="P39" i="3"/>
  <c r="N39" i="3"/>
  <c r="M39" i="3"/>
  <c r="S38" i="3"/>
  <c r="Q38" i="3"/>
  <c r="P38" i="3"/>
  <c r="N38" i="3"/>
  <c r="U39" i="3" s="1"/>
  <c r="M38" i="3"/>
  <c r="S37" i="3"/>
  <c r="P37" i="3"/>
  <c r="N37" i="3"/>
  <c r="M37" i="3"/>
  <c r="N36" i="3"/>
  <c r="S30" i="3" s="1"/>
  <c r="M36" i="3"/>
  <c r="N35" i="3"/>
  <c r="R39" i="3" s="1"/>
  <c r="M35" i="3"/>
  <c r="N34" i="3"/>
  <c r="M34" i="3"/>
  <c r="N33" i="3"/>
  <c r="S29" i="3" s="1"/>
  <c r="M33" i="3"/>
  <c r="S32" i="3"/>
  <c r="Q32" i="3"/>
  <c r="P32" i="3"/>
  <c r="T32" i="3" s="1"/>
  <c r="N32" i="3"/>
  <c r="R29" i="3" s="1"/>
  <c r="M32" i="3"/>
  <c r="T31" i="3"/>
  <c r="S31" i="3"/>
  <c r="R31" i="3"/>
  <c r="Q31" i="3"/>
  <c r="P31" i="3"/>
  <c r="N31" i="3"/>
  <c r="Q29" i="3" s="1"/>
  <c r="M31" i="3"/>
  <c r="Q30" i="3"/>
  <c r="P30" i="3"/>
  <c r="N30" i="3"/>
  <c r="M30" i="3"/>
  <c r="P29" i="3"/>
  <c r="N29" i="3"/>
  <c r="M29" i="3"/>
  <c r="S15" i="3" s="1"/>
  <c r="N28" i="3"/>
  <c r="U38" i="3" s="1"/>
  <c r="M28" i="3"/>
  <c r="X27" i="3"/>
  <c r="T27" i="3"/>
  <c r="N27" i="3"/>
  <c r="T38" i="3" s="1"/>
  <c r="M27" i="3"/>
  <c r="N26" i="3"/>
  <c r="M26" i="3"/>
  <c r="N25" i="3"/>
  <c r="R38" i="3" s="1"/>
  <c r="M25" i="3"/>
  <c r="R24" i="3"/>
  <c r="T24" i="3" s="1"/>
  <c r="U24" i="3" s="1"/>
  <c r="P24" i="3"/>
  <c r="N24" i="3"/>
  <c r="M24" i="3"/>
  <c r="R15" i="3" s="1"/>
  <c r="R23" i="3"/>
  <c r="T23" i="3" s="1"/>
  <c r="U23" i="3" s="1"/>
  <c r="P23" i="3"/>
  <c r="N23" i="3"/>
  <c r="M23" i="3"/>
  <c r="R22" i="3"/>
  <c r="T22" i="3" s="1"/>
  <c r="U22" i="3" s="1"/>
  <c r="P22" i="3"/>
  <c r="N22" i="3"/>
  <c r="M22" i="3"/>
  <c r="S14" i="3" s="1"/>
  <c r="N21" i="3"/>
  <c r="U37" i="3" s="1"/>
  <c r="M21" i="3"/>
  <c r="N20" i="3"/>
  <c r="T37" i="3" s="1"/>
  <c r="M20" i="3"/>
  <c r="N19" i="3"/>
  <c r="M19" i="3"/>
  <c r="N18" i="3"/>
  <c r="R37" i="3" s="1"/>
  <c r="M18" i="3"/>
  <c r="R17" i="3"/>
  <c r="Q17" i="3"/>
  <c r="T17" i="3" s="1"/>
  <c r="X17" i="3" s="1"/>
  <c r="U17" i="3" s="1"/>
  <c r="P17" i="3"/>
  <c r="N17" i="3"/>
  <c r="Q37" i="3" s="1"/>
  <c r="M17" i="3"/>
  <c r="S16" i="3"/>
  <c r="R16" i="3"/>
  <c r="Q16" i="3"/>
  <c r="T16" i="3" s="1"/>
  <c r="P16" i="3"/>
  <c r="N16" i="3"/>
  <c r="M16" i="3"/>
  <c r="Q15" i="3"/>
  <c r="T15" i="3" s="1"/>
  <c r="P15" i="3"/>
  <c r="N15" i="3"/>
  <c r="M15" i="3"/>
  <c r="R14" i="3"/>
  <c r="P14" i="3"/>
  <c r="N14" i="3"/>
  <c r="M14" i="3"/>
  <c r="Q14" i="3" s="1"/>
  <c r="T14" i="3" s="1"/>
  <c r="X14" i="3" s="1"/>
  <c r="U14" i="3" s="1"/>
  <c r="S13" i="3"/>
  <c r="R13" i="3"/>
  <c r="Q13" i="3"/>
  <c r="N13" i="3"/>
  <c r="M13" i="3"/>
  <c r="V39" i="3" l="1"/>
  <c r="W39" i="3" s="1"/>
  <c r="X39" i="3" s="1"/>
  <c r="Y39" i="3" s="1"/>
  <c r="X16" i="3"/>
  <c r="U16" i="3" s="1"/>
  <c r="V37" i="3"/>
  <c r="W37" i="3" s="1"/>
  <c r="X37" i="3" s="1"/>
  <c r="Y37" i="3" s="1"/>
  <c r="T29" i="3"/>
  <c r="V38" i="3"/>
  <c r="W38" i="3" s="1"/>
  <c r="X38" i="3" s="1"/>
  <c r="Y38" i="3" s="1"/>
  <c r="E86" i="3"/>
  <c r="F86" i="3" s="1"/>
  <c r="E84" i="3"/>
  <c r="F84" i="3" s="1"/>
  <c r="E85" i="3"/>
  <c r="F85" i="3" s="1"/>
  <c r="V40" i="3"/>
  <c r="W40" i="3" s="1"/>
  <c r="X40" i="3" s="1"/>
  <c r="Y40" i="3" s="1"/>
  <c r="X15" i="3"/>
  <c r="U15" i="3" s="1"/>
  <c r="R30" i="3"/>
  <c r="T30" i="3" s="1"/>
  <c r="U29" i="3" l="1"/>
  <c r="X29" i="3" s="1"/>
</calcChain>
</file>

<file path=xl/sharedStrings.xml><?xml version="1.0" encoding="utf-8"?>
<sst xmlns="http://schemas.openxmlformats.org/spreadsheetml/2006/main" count="563" uniqueCount="309">
  <si>
    <t>TEST: RADIATION PROFILE WIDTH FOR CT SCAN</t>
  </si>
  <si>
    <t>Applied</t>
  </si>
  <si>
    <t>Measured</t>
  </si>
  <si>
    <t>kVp</t>
  </si>
  <si>
    <t>mA</t>
  </si>
  <si>
    <t>0.62</t>
  </si>
  <si>
    <t>120</t>
  </si>
  <si>
    <t>200</t>
  </si>
  <si>
    <t>1.25</t>
  </si>
  <si>
    <t>1.27</t>
  </si>
  <si>
    <t/>
  </si>
  <si>
    <t>3.0</t>
  </si>
  <si>
    <t>3.05</t>
  </si>
  <si>
    <t>TEST: MEASUREMENT OF OPERATING POTENTIAL</t>
  </si>
  <si>
    <t>Set kV</t>
  </si>
  <si>
    <t>@ mA 10</t>
  </si>
  <si>
    <t>@ mA 100</t>
  </si>
  <si>
    <t>@ mA 200</t>
  </si>
  <si>
    <t>Time (ms)</t>
  </si>
  <si>
    <t>Slice Thickness (mm)</t>
  </si>
  <si>
    <t>Tol Value</t>
  </si>
  <si>
    <t>Tol Type</t>
  </si>
  <si>
    <t>Tol Sign</t>
  </si>
  <si>
    <t>80</t>
  </si>
  <si>
    <t>80.2</t>
  </si>
  <si>
    <t>80.3</t>
  </si>
  <si>
    <t>100</t>
  </si>
  <si>
    <t>5</t>
  </si>
  <si>
    <t>%</t>
  </si>
  <si>
    <t>±</t>
  </si>
  <si>
    <t>100.1</t>
  </si>
  <si>
    <t>100.3</t>
  </si>
  <si>
    <t>120.4</t>
  </si>
  <si>
    <t>120.6</t>
  </si>
  <si>
    <t>TEST: MEASUREMENT OF MA LINEARITY</t>
  </si>
  <si>
    <t>mA Applied</t>
  </si>
  <si>
    <t>Meas 1</t>
  </si>
  <si>
    <t>Meas 2</t>
  </si>
  <si>
    <t>Meas 3</t>
  </si>
  <si>
    <t>5.0</t>
  </si>
  <si>
    <t>10</t>
  </si>
  <si>
    <t>10.1</t>
  </si>
  <si>
    <t>10.2</t>
  </si>
  <si>
    <t>10.3</t>
  </si>
  <si>
    <t>20</t>
  </si>
  <si>
    <t>20.2</t>
  </si>
  <si>
    <t>20.1</t>
  </si>
  <si>
    <t>20.3</t>
  </si>
  <si>
    <t>50</t>
  </si>
  <si>
    <t>50.5</t>
  </si>
  <si>
    <t>50.4</t>
  </si>
  <si>
    <t>50.6</t>
  </si>
  <si>
    <t>101.0</t>
  </si>
  <si>
    <t>100.8</t>
  </si>
  <si>
    <t>101.2</t>
  </si>
  <si>
    <t>TEST: TIMER ACCURACY</t>
  </si>
  <si>
    <t>Set Time (ms)</t>
  </si>
  <si>
    <t>Observed Time (ms)</t>
  </si>
  <si>
    <t>Tolerance (%)</t>
  </si>
  <si>
    <t>98.5</t>
  </si>
  <si>
    <t>199</t>
  </si>
  <si>
    <t>TEST: LINEARITY OF MAS LOADING</t>
  </si>
  <si>
    <t>mAs Range</t>
  </si>
  <si>
    <t>Result</t>
  </si>
  <si>
    <t>FCD</t>
  </si>
  <si>
    <t>kV</t>
  </si>
  <si>
    <t>Tolerance</t>
  </si>
  <si>
    <t>4.5</t>
  </si>
  <si>
    <t>0.10</t>
  </si>
  <si>
    <t>9.1</t>
  </si>
  <si>
    <t>TEST: MEASUREMENT OF CTDI</t>
  </si>
  <si>
    <t>mAs</t>
  </si>
  <si>
    <t>CTDIw (Rated) Head</t>
  </si>
  <si>
    <t>CTDIw (Rated) Body</t>
  </si>
  <si>
    <t>Type</t>
  </si>
  <si>
    <t>Label</t>
  </si>
  <si>
    <t>Head</t>
  </si>
  <si>
    <t>Body</t>
  </si>
  <si>
    <t>15.5</t>
  </si>
  <si>
    <t>12.2</t>
  </si>
  <si>
    <t>Axial Dose CTDIc</t>
  </si>
  <si>
    <t>16.0</t>
  </si>
  <si>
    <t>13.0</t>
  </si>
  <si>
    <t>Peripheral Dose</t>
  </si>
  <si>
    <t>A</t>
  </si>
  <si>
    <t>12.5</t>
  </si>
  <si>
    <t>B</t>
  </si>
  <si>
    <t>15.7</t>
  </si>
  <si>
    <t>12.7</t>
  </si>
  <si>
    <t>C</t>
  </si>
  <si>
    <t>15.6</t>
  </si>
  <si>
    <t>12.6</t>
  </si>
  <si>
    <t>TEST: TOTAL FILTRATION</t>
  </si>
  <si>
    <t>Applied KV</t>
  </si>
  <si>
    <t>Applied MA</t>
  </si>
  <si>
    <t>Time</t>
  </si>
  <si>
    <t>Slice Thickness</t>
  </si>
  <si>
    <t>Measured TF</t>
  </si>
  <si>
    <t>1.0</t>
  </si>
  <si>
    <t>7.5</t>
  </si>
  <si>
    <t>TEST: Reproducibility of Radiation Output (Consistency Test)</t>
  </si>
  <si>
    <t>Time (s)</t>
  </si>
  <si>
    <t>Meas 4</t>
  </si>
  <si>
    <t>Meas 5</t>
  </si>
  <si>
    <t>COV</t>
  </si>
  <si>
    <t>100.5</t>
  </si>
  <si>
    <t>100.6</t>
  </si>
  <si>
    <t>100.4</t>
  </si>
  <si>
    <t>0.05</t>
  </si>
  <si>
    <t>TEST: Radiation Leakage Level from X-Ray Tube House</t>
  </si>
  <si>
    <t>Time (sec)</t>
  </si>
  <si>
    <t>Workload</t>
  </si>
  <si>
    <t>Workload Unit</t>
  </si>
  <si>
    <t>Tol Operator</t>
  </si>
  <si>
    <t>Tol Time</t>
  </si>
  <si>
    <t>Location</t>
  </si>
  <si>
    <t>Front</t>
  </si>
  <si>
    <t>Back</t>
  </si>
  <si>
    <t>Left</t>
  </si>
  <si>
    <t>Right</t>
  </si>
  <si>
    <t>500</t>
  </si>
  <si>
    <t>mA·min/week</t>
  </si>
  <si>
    <t>less than or equal to</t>
  </si>
  <si>
    <t>1</t>
  </si>
  <si>
    <t>Tube</t>
  </si>
  <si>
    <t>0.03</t>
  </si>
  <si>
    <t>0.06</t>
  </si>
  <si>
    <t>0.04</t>
  </si>
  <si>
    <t>Collimator</t>
  </si>
  <si>
    <t>0.02</t>
  </si>
  <si>
    <t>0.01</t>
  </si>
  <si>
    <t>TEST: LOW CONTRAST RESOLUTION</t>
  </si>
  <si>
    <t>Observed Size</t>
  </si>
  <si>
    <t>Contrast Level</t>
  </si>
  <si>
    <t>WW</t>
  </si>
  <si>
    <t>400</t>
  </si>
  <si>
    <t>TEST: HIGH CONTRAST RESOLUTION</t>
  </si>
  <si>
    <t>Contrast Difference</t>
  </si>
  <si>
    <t>0.5</t>
  </si>
  <si>
    <t>TEST: ALIGNMENT OF TABLE/GANTRY</t>
  </si>
  <si>
    <t>2.0</t>
  </si>
  <si>
    <t>±2.0</t>
  </si>
  <si>
    <t>TEST: TABLE POSITION</t>
  </si>
  <si>
    <t>Table Position</t>
  </si>
  <si>
    <t>Expected</t>
  </si>
  <si>
    <t>Initial Pos</t>
  </si>
  <si>
    <t>Load</t>
  </si>
  <si>
    <t>0</t>
  </si>
  <si>
    <t>19.9</t>
  </si>
  <si>
    <t>TEST: GANTRY TILT</t>
  </si>
  <si>
    <t>Name/Actual</t>
  </si>
  <si>
    <t>Value/Measured</t>
  </si>
  <si>
    <t>Parameter</t>
  </si>
  <si>
    <t>Tilt Param</t>
  </si>
  <si>
    <t>45</t>
  </si>
  <si>
    <t>Measurement</t>
  </si>
  <si>
    <t>30</t>
  </si>
  <si>
    <t>30.2</t>
  </si>
  <si>
    <t>TEST: MAXIMUM RADIATION LEVEL</t>
  </si>
  <si>
    <t>mR/hr</t>
  </si>
  <si>
    <t>Category</t>
  </si>
  <si>
    <t>Date</t>
  </si>
  <si>
    <t>Calibrated</t>
  </si>
  <si>
    <t>Control Console</t>
  </si>
  <si>
    <t>worker</t>
  </si>
  <si>
    <t>2024-01-01</t>
  </si>
  <si>
    <t>Yes</t>
  </si>
  <si>
    <t>5000</t>
  </si>
  <si>
    <t>Patient Entrance Door</t>
  </si>
  <si>
    <t>Name of the Hospital</t>
  </si>
  <si>
    <t>TRINITAS HOSPITALS</t>
  </si>
  <si>
    <t>Address</t>
  </si>
  <si>
    <t>MAYURI INFINITY VIP ROAD, CHANDANGIRI LANE BARBARI</t>
  </si>
  <si>
    <t>GUWAHATI - 871036</t>
  </si>
  <si>
    <t xml:space="preserve"> </t>
  </si>
  <si>
    <t>Make</t>
  </si>
  <si>
    <t xml:space="preserve">Wipro GE Healthcare </t>
  </si>
  <si>
    <t>Temp</t>
  </si>
  <si>
    <t>Model</t>
  </si>
  <si>
    <t>REVOLUTION ASPIRE.</t>
  </si>
  <si>
    <t>Hum</t>
  </si>
  <si>
    <t>Ser No</t>
  </si>
  <si>
    <t>190744BG3</t>
  </si>
  <si>
    <t>CT SCAN</t>
  </si>
  <si>
    <t xml:space="preserve">Date of QA </t>
  </si>
  <si>
    <t>LEAD</t>
  </si>
  <si>
    <t>Wipro GE Healthcare</t>
  </si>
  <si>
    <t xml:space="preserve">APPLIED </t>
  </si>
  <si>
    <t>MEASURED</t>
  </si>
  <si>
    <t>ACCURACY OF OPERATING POTENTIAL KV TEST</t>
  </si>
  <si>
    <t>KV</t>
  </si>
  <si>
    <t>TIME (ms)</t>
  </si>
  <si>
    <t>DOSE</t>
  </si>
  <si>
    <t>DOSE RATE</t>
  </si>
  <si>
    <t>HVL</t>
  </si>
  <si>
    <t>TF</t>
  </si>
  <si>
    <t>Dose</t>
  </si>
  <si>
    <t xml:space="preserve">Applied KV </t>
  </si>
  <si>
    <t>Measured kV at mA Used</t>
  </si>
  <si>
    <t>AVG KV</t>
  </si>
  <si>
    <t>RESULT</t>
  </si>
  <si>
    <t>DIFFERENCE</t>
  </si>
  <si>
    <t>If the difference of the Applied value and Measured value or average value is &gt;=2, then Fail Else the result  is Pass.</t>
  </si>
  <si>
    <t xml:space="preserve">      </t>
  </si>
  <si>
    <t>-</t>
  </si>
  <si>
    <t>Tolerance: ± 2 kV</t>
  </si>
  <si>
    <t>TIMER TEST</t>
  </si>
  <si>
    <t xml:space="preserve">Applied Time </t>
  </si>
  <si>
    <t xml:space="preserve">Measured Time </t>
  </si>
  <si>
    <t>% Error</t>
  </si>
  <si>
    <t>Use Maximum mA</t>
  </si>
  <si>
    <t>Tolerance: ± 10%</t>
  </si>
  <si>
    <t>mA LINEARITY TEST</t>
  </si>
  <si>
    <t>TIME</t>
  </si>
  <si>
    <t>Set mA</t>
  </si>
  <si>
    <t>Dose in mGy</t>
  </si>
  <si>
    <t>X</t>
  </si>
  <si>
    <t>COL</t>
  </si>
  <si>
    <t>Tolerance: CoL&lt;0.1</t>
  </si>
  <si>
    <t>OUTPUT CONSISTANCY</t>
  </si>
  <si>
    <t>MEAN (X)</t>
  </si>
  <si>
    <t>SD</t>
  </si>
  <si>
    <t>Tolerance: CoV &lt; 0.05</t>
  </si>
  <si>
    <t>TOTAL FILTRATION</t>
  </si>
  <si>
    <t>Tolerance for Total Filtration: 1.5 mm Al for kV &gt;70, 2.0 mm Al for 70&lt; kV &lt;=100, 2.5 mm Al for kV &gt; 100</t>
  </si>
  <si>
    <t xml:space="preserve">MEASUREMENT OF COMPUTED TOMOGRAPHY DOSE INDEX (CTDI)  </t>
  </si>
  <si>
    <t>Measurements</t>
  </si>
  <si>
    <t>Exam mode</t>
  </si>
  <si>
    <t xml:space="preserve">Axial </t>
  </si>
  <si>
    <t>HEAD</t>
  </si>
  <si>
    <t>Set kV_x000D_(kV)</t>
  </si>
  <si>
    <t>Set mAs_x000D_(mAs)</t>
  </si>
  <si>
    <t>Slice Thickness_x000D_(cm)</t>
  </si>
  <si>
    <t>Number of slices</t>
  </si>
  <si>
    <t>CT phantom position</t>
  </si>
  <si>
    <t>CT exposure_x000D_(mGycm)</t>
  </si>
  <si>
    <t>CTDI_x000D_(mGy)</t>
  </si>
  <si>
    <t>10 mm</t>
  </si>
  <si>
    <t>D</t>
  </si>
  <si>
    <t>E</t>
  </si>
  <si>
    <t>Rated Value</t>
  </si>
  <si>
    <t>Exam Mode</t>
  </si>
  <si>
    <t>BODY</t>
  </si>
  <si>
    <r>
      <rPr>
        <b/>
        <sz val="11"/>
        <color theme="1"/>
        <rFont val="Calibri"/>
        <family val="2"/>
        <scheme val="minor"/>
      </rPr>
      <t xml:space="preserve">Tolerance: </t>
    </r>
    <r>
      <rPr>
        <sz val="12"/>
        <color theme="1"/>
        <rFont val="Calibri"/>
        <family val="2"/>
        <scheme val="minor"/>
      </rPr>
      <t xml:space="preserve"> ± 20 % of Stated value</t>
    </r>
  </si>
  <si>
    <t>SLICE THICKNESSS</t>
  </si>
  <si>
    <t>Phantom Used</t>
  </si>
  <si>
    <t>Pro CT MINI</t>
  </si>
  <si>
    <t>Multiply Factor</t>
  </si>
  <si>
    <t>Measured in mm</t>
  </si>
  <si>
    <t>TOR IQ</t>
  </si>
  <si>
    <t xml:space="preserve">Applied Slice </t>
  </si>
  <si>
    <t>Measured Thickness</t>
  </si>
  <si>
    <t>Measured Slice</t>
  </si>
  <si>
    <t>Pro CT MK II</t>
  </si>
  <si>
    <r>
      <rPr>
        <b/>
        <sz val="11"/>
        <color theme="1"/>
        <rFont val="Calibri"/>
        <family val="2"/>
        <scheme val="minor"/>
      </rPr>
      <t>Tolerance : a.</t>
    </r>
    <r>
      <rPr>
        <sz val="12"/>
        <color theme="1"/>
        <rFont val="Calibri"/>
        <family val="2"/>
        <scheme val="minor"/>
      </rPr>
      <t xml:space="preserve"> Less than 1.0 mm (0.5 mm) </t>
    </r>
    <r>
      <rPr>
        <b/>
        <sz val="11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>. 1.0 mm to 2.0 mm (</t>
    </r>
    <r>
      <rPr>
        <sz val="11"/>
        <color theme="1"/>
        <rFont val="Calibri"/>
        <family val="2"/>
      </rPr>
      <t xml:space="preserve">±50%) </t>
    </r>
    <r>
      <rPr>
        <b/>
        <sz val="11"/>
        <color theme="1"/>
        <rFont val="Calibri"/>
        <family val="2"/>
        <scheme val="minor"/>
      </rPr>
      <t>c.</t>
    </r>
    <r>
      <rPr>
        <sz val="12"/>
        <color theme="1"/>
        <rFont val="Calibri"/>
        <family val="2"/>
        <scheme val="minor"/>
      </rPr>
      <t xml:space="preserve"> Above 2.0 mm (</t>
    </r>
    <r>
      <rPr>
        <sz val="11"/>
        <color theme="1"/>
        <rFont val="Calibri"/>
        <family val="2"/>
      </rPr>
      <t>±</t>
    </r>
    <r>
      <rPr>
        <sz val="12"/>
        <color theme="1"/>
        <rFont val="Calibri"/>
        <family val="2"/>
        <scheme val="minor"/>
      </rPr>
      <t>1 mm)</t>
    </r>
  </si>
  <si>
    <t>LOW CONTRAST</t>
  </si>
  <si>
    <t>Measured Value</t>
  </si>
  <si>
    <t>Tolerance : 5.0 mm at 1% contrast difference (minimum)</t>
  </si>
  <si>
    <t>HIGH CONTRAST</t>
  </si>
  <si>
    <t xml:space="preserve">The size of the bar/hole pattern that could be resolvable should be 1.6 mm (= 3.12 lp/cm). </t>
  </si>
  <si>
    <t>TUBE LEAKAGE</t>
  </si>
  <si>
    <t>MA</t>
  </si>
  <si>
    <t>TIME (SEC)</t>
  </si>
  <si>
    <t>mAmin in 1 hr</t>
  </si>
  <si>
    <t>Result value in mR in 1 hr</t>
  </si>
  <si>
    <t>Result value in mGy in 1 hr</t>
  </si>
  <si>
    <t>FRONT</t>
  </si>
  <si>
    <t>BACK</t>
  </si>
  <si>
    <t>LEFT</t>
  </si>
  <si>
    <t>RIGHT</t>
  </si>
  <si>
    <t>Unit</t>
  </si>
  <si>
    <t>Tolerance:  &lt;= 1 mGy (114 mR) in one hour.</t>
  </si>
  <si>
    <t>RADIATION LEAKAGE SURVEY TEST</t>
  </si>
  <si>
    <t xml:space="preserve">                       </t>
  </si>
  <si>
    <t>Work Load</t>
  </si>
  <si>
    <t xml:space="preserve">Max Radiation Level </t>
  </si>
  <si>
    <t>mR/week</t>
  </si>
  <si>
    <t>Permissible Limit</t>
  </si>
  <si>
    <t>Control Console (Operator Position)</t>
  </si>
  <si>
    <t>≤ 2 mR/hr</t>
  </si>
  <si>
    <t>Outside Lead Glass / View Window</t>
  </si>
  <si>
    <t>Outside Console Wall</t>
  </si>
  <si>
    <t>Gantry to Console Door Left</t>
  </si>
  <si>
    <t>Gantry to Console Door Right</t>
  </si>
  <si>
    <t>Outside Patient Entrance Door Left</t>
  </si>
  <si>
    <t>≤ 0.2 mR/hr</t>
  </si>
  <si>
    <t>Outside Patient Entrance Door Centre</t>
  </si>
  <si>
    <t>Outside Patient Entrance Door Right</t>
  </si>
  <si>
    <t>Patient Waiting Area</t>
  </si>
  <si>
    <t>Bihind Windows (if applicable)</t>
  </si>
  <si>
    <t>NA</t>
  </si>
  <si>
    <t>Gantry Tilt Not Applicable</t>
  </si>
  <si>
    <t>Select the drop down for Gantry Tilt</t>
  </si>
  <si>
    <t>GANTRY TILT</t>
  </si>
  <si>
    <r>
      <t>APPLIED VALUE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)</t>
    </r>
  </si>
  <si>
    <t>MEASURED VALUE IN MM</t>
  </si>
  <si>
    <t>MEASURED VALUE (°)</t>
  </si>
  <si>
    <t>s2</t>
  </si>
  <si>
    <t>s1</t>
  </si>
  <si>
    <t>X'</t>
  </si>
  <si>
    <t>Y'</t>
  </si>
  <si>
    <t>Tolerance: ± 2˚</t>
  </si>
  <si>
    <t>Note: X and Y denote measurements taken on the positive tilt side.
           X' and Y′ denote measurements taken on the negative tilt side.</t>
  </si>
  <si>
    <t>Table to Gantry Alignment</t>
  </si>
  <si>
    <t>mm</t>
  </si>
  <si>
    <t>Table Increment</t>
  </si>
  <si>
    <t>REF VALUE</t>
  </si>
  <si>
    <t>Tolerance: ± 1.0 mm</t>
  </si>
  <si>
    <t>Note : Where I is + value &amp; S is - value &amp; vise versa if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</si>
</sst>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000"/>
    <numFmt numFmtId="166" formatCode="0.000"/>
    <numFmt numFmtId="167" formatCode="0.0"/>
  </numFmts>
  <fonts count="14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FFFF"/>
      <name val="Calibri"/>
      <family val="2"/>
      <scheme val="minor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center"/>
    </xf>
    <xf numFmtId="0" fontId="4" fillId="2" borderId="2" xfId="0" applyFont="1" applyFill="1" applyBorder="1"/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/>
    </xf>
    <xf numFmtId="0" fontId="0" fillId="3" borderId="16" xfId="0" applyFill="1" applyBorder="1"/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18" xfId="0" applyBorder="1"/>
    <xf numFmtId="0" fontId="0" fillId="0" borderId="19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2" fillId="0" borderId="20" xfId="0" applyFont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2" fillId="4" borderId="21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1" xfId="0" applyBorder="1"/>
    <xf numFmtId="2" fontId="0" fillId="0" borderId="22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0" fillId="4" borderId="24" xfId="0" applyNumberFormat="1" applyFill="1" applyBorder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4" xfId="0" applyBorder="1"/>
    <xf numFmtId="2" fontId="0" fillId="0" borderId="25" xfId="0" applyNumberForma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/>
    <xf numFmtId="2" fontId="0" fillId="5" borderId="14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5" fontId="0" fillId="0" borderId="0" xfId="0" applyNumberFormat="1"/>
    <xf numFmtId="0" fontId="0" fillId="0" borderId="14" xfId="0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5" fillId="7" borderId="18" xfId="0" applyNumberFormat="1" applyFont="1" applyFill="1" applyBorder="1" applyAlignment="1">
      <alignment horizontal="center" vertical="center" wrapText="1"/>
    </xf>
    <xf numFmtId="165" fontId="0" fillId="0" borderId="18" xfId="0" applyNumberFormat="1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31" xfId="0" applyFont="1" applyBorder="1" applyAlignment="1">
      <alignment horizont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horizontal="center"/>
    </xf>
    <xf numFmtId="0" fontId="0" fillId="0" borderId="32" xfId="0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165" fontId="7" fillId="8" borderId="21" xfId="0" applyNumberFormat="1" applyFont="1" applyFill="1" applyBorder="1" applyAlignment="1">
      <alignment horizontal="center" vertical="center" wrapText="1"/>
    </xf>
    <xf numFmtId="165" fontId="7" fillId="8" borderId="34" xfId="0" applyNumberFormat="1" applyFont="1" applyFill="1" applyBorder="1" applyAlignment="1">
      <alignment horizontal="center" vertical="center" wrapText="1"/>
    </xf>
    <xf numFmtId="165" fontId="6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 wrapText="1"/>
    </xf>
    <xf numFmtId="165" fontId="7" fillId="8" borderId="29" xfId="0" applyNumberFormat="1" applyFont="1" applyFill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7" fillId="8" borderId="24" xfId="0" applyNumberFormat="1" applyFont="1" applyFill="1" applyBorder="1" applyAlignment="1">
      <alignment horizontal="center" vertical="center" wrapText="1"/>
    </xf>
    <xf numFmtId="165" fontId="7" fillId="8" borderId="35" xfId="0" applyNumberFormat="1" applyFont="1" applyFill="1" applyBorder="1" applyAlignment="1">
      <alignment horizontal="center" vertical="center" wrapText="1"/>
    </xf>
    <xf numFmtId="165" fontId="6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2" fontId="0" fillId="0" borderId="42" xfId="0" applyNumberFormat="1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5" borderId="44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0" fillId="5" borderId="45" xfId="0" applyFill="1" applyBorder="1"/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36" xfId="0" applyBorder="1"/>
    <xf numFmtId="0" fontId="2" fillId="0" borderId="46" xfId="0" applyFont="1" applyBorder="1"/>
    <xf numFmtId="0" fontId="0" fillId="0" borderId="46" xfId="0" applyBorder="1"/>
    <xf numFmtId="0" fontId="0" fillId="0" borderId="47" xfId="0" applyBorder="1"/>
    <xf numFmtId="0" fontId="0" fillId="0" borderId="44" xfId="0" applyBorder="1"/>
    <xf numFmtId="0" fontId="8" fillId="9" borderId="0" xfId="0" applyFont="1" applyFill="1"/>
    <xf numFmtId="0" fontId="8" fillId="9" borderId="0" xfId="0" applyFont="1" applyFill="1" applyAlignment="1">
      <alignment horizontal="center"/>
    </xf>
    <xf numFmtId="0" fontId="8" fillId="9" borderId="45" xfId="0" applyFont="1" applyFill="1" applyBorder="1" applyAlignment="1">
      <alignment horizontal="center"/>
    </xf>
    <xf numFmtId="2" fontId="9" fillId="3" borderId="16" xfId="0" applyNumberFormat="1" applyFont="1" applyFill="1" applyBorder="1" applyAlignment="1">
      <alignment horizontal="center" vertical="center" wrapText="1"/>
    </xf>
    <xf numFmtId="2" fontId="9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2" fontId="9" fillId="3" borderId="18" xfId="0" applyNumberFormat="1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43" xfId="0" applyNumberFormat="1" applyFont="1" applyBorder="1" applyAlignment="1">
      <alignment horizontal="center" vertical="center"/>
    </xf>
    <xf numFmtId="2" fontId="2" fillId="0" borderId="36" xfId="0" applyNumberFormat="1" applyFont="1" applyBorder="1" applyAlignment="1">
      <alignment horizontal="center"/>
    </xf>
    <xf numFmtId="2" fontId="2" fillId="0" borderId="47" xfId="0" applyNumberFormat="1" applyFont="1" applyBorder="1" applyAlignment="1">
      <alignment horizontal="center"/>
    </xf>
    <xf numFmtId="2" fontId="3" fillId="0" borderId="0" xfId="0" applyNumberFormat="1" applyFont="1"/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45" xfId="0" applyBorder="1" applyAlignment="1">
      <alignment horizontal="center"/>
    </xf>
    <xf numFmtId="0" fontId="0" fillId="0" borderId="45" xfId="0" applyBorder="1"/>
    <xf numFmtId="0" fontId="0" fillId="0" borderId="0" xfId="0" applyAlignment="1">
      <alignment horizontal="left"/>
    </xf>
    <xf numFmtId="166" fontId="9" fillId="3" borderId="1" xfId="0" applyNumberFormat="1" applyFont="1" applyFill="1" applyBorder="1" applyAlignment="1">
      <alignment horizontal="center" vertical="center" wrapText="1"/>
    </xf>
    <xf numFmtId="166" fontId="3" fillId="0" borderId="0" xfId="0" applyNumberFormat="1" applyFont="1"/>
    <xf numFmtId="0" fontId="0" fillId="0" borderId="2" xfId="0" applyBorder="1"/>
    <xf numFmtId="0" fontId="0" fillId="0" borderId="3" xfId="0" applyBorder="1"/>
    <xf numFmtId="166" fontId="2" fillId="0" borderId="5" xfId="0" applyNumberFormat="1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10" fillId="0" borderId="0" xfId="0" applyFont="1"/>
    <xf numFmtId="0" fontId="2" fillId="0" borderId="3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2" fillId="0" borderId="46" xfId="0" applyFont="1" applyBorder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48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7" xfId="0" applyNumberFormat="1" applyFill="1" applyBorder="1" applyAlignment="1">
      <alignment horizontal="center" vertical="center"/>
    </xf>
    <xf numFmtId="0" fontId="1" fillId="0" borderId="1" xfId="0" applyFont="1" applyBorder="1"/>
    <xf numFmtId="2" fontId="0" fillId="3" borderId="29" xfId="0" applyNumberFormat="1" applyFill="1" applyBorder="1" applyAlignment="1">
      <alignment horizontal="center" vertical="center"/>
    </xf>
    <xf numFmtId="2" fontId="0" fillId="3" borderId="28" xfId="0" applyNumberFormat="1" applyFill="1" applyBorder="1" applyAlignment="1">
      <alignment horizontal="center" vertical="center"/>
    </xf>
    <xf numFmtId="167" fontId="0" fillId="0" borderId="23" xfId="0" applyNumberFormat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2" fontId="0" fillId="3" borderId="50" xfId="0" applyNumberForma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36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20" xfId="0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3" borderId="52" xfId="0" applyFill="1" applyBorder="1" applyAlignment="1">
      <alignment horizontal="center"/>
    </xf>
    <xf numFmtId="0" fontId="2" fillId="0" borderId="53" xfId="0" applyFont="1" applyBorder="1" applyAlignment="1">
      <alignment horizontal="center" vertical="center"/>
    </xf>
    <xf numFmtId="0" fontId="0" fillId="0" borderId="50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4" xfId="0" applyFill="1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46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59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66" fontId="0" fillId="0" borderId="64" xfId="0" applyNumberFormat="1" applyBorder="1" applyAlignment="1">
      <alignment horizontal="center" vertical="center"/>
    </xf>
    <xf numFmtId="166" fontId="0" fillId="0" borderId="36" xfId="0" applyNumberFormat="1" applyBorder="1" applyAlignment="1">
      <alignment horizontal="center" vertical="center"/>
    </xf>
    <xf numFmtId="166" fontId="0" fillId="0" borderId="47" xfId="0" applyNumberFormat="1" applyBorder="1" applyAlignment="1">
      <alignment horizontal="center" vertical="center"/>
    </xf>
    <xf numFmtId="166" fontId="0" fillId="0" borderId="63" xfId="0" applyNumberFormat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2" fontId="2" fillId="5" borderId="65" xfId="0" applyNumberFormat="1" applyFont="1" applyFill="1" applyBorder="1" applyAlignment="1">
      <alignment horizontal="center" vertical="center"/>
    </xf>
    <xf numFmtId="2" fontId="2" fillId="5" borderId="66" xfId="0" applyNumberFormat="1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wrapText="1"/>
    </xf>
    <xf numFmtId="0" fontId="2" fillId="0" borderId="17" xfId="0" applyFont="1" applyBorder="1" applyAlignment="1">
      <alignment horizontal="center" vertical="center"/>
    </xf>
    <xf numFmtId="0" fontId="12" fillId="0" borderId="19" xfId="0" applyFont="1" applyBorder="1" applyAlignment="1">
      <alignment horizontal="left" wrapText="1"/>
    </xf>
    <xf numFmtId="0" fontId="5" fillId="0" borderId="2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166" fontId="0" fillId="3" borderId="2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66" fontId="0" fillId="0" borderId="21" xfId="0" applyNumberForma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166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166" fontId="0" fillId="3" borderId="24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5" fillId="0" borderId="5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166" fontId="0" fillId="3" borderId="16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2" fillId="0" borderId="62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2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36" xfId="0" applyFont="1" applyBorder="1" applyAlignment="1">
      <alignment horizontal="left" wrapText="1"/>
    </xf>
    <xf numFmtId="0" fontId="2" fillId="0" borderId="46" xfId="0" applyFont="1" applyBorder="1" applyAlignment="1">
      <alignment horizontal="left" wrapText="1"/>
    </xf>
    <xf numFmtId="0" fontId="2" fillId="0" borderId="47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2" fillId="0" borderId="5" xfId="0" applyFont="1" applyBorder="1"/>
    <xf numFmtId="0" fontId="0" fillId="3" borderId="41" xfId="0" applyFill="1" applyBorder="1" applyAlignment="1">
      <alignment horizontal="center"/>
    </xf>
    <xf numFmtId="0" fontId="0" fillId="0" borderId="41" xfId="0" applyBorder="1"/>
    <xf numFmtId="0" fontId="0" fillId="0" borderId="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2" fontId="0" fillId="0" borderId="0" xfId="0" applyNumberFormat="1"/>
  </cellXfs>
  <cellStyles count="1">
    <cellStyle name="Normal" xfId="0" builtinId="0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125</xdr:row>
      <xdr:rowOff>0</xdr:rowOff>
    </xdr:from>
    <xdr:to>
      <xdr:col>1</xdr:col>
      <xdr:colOff>449580</xdr:colOff>
      <xdr:row>126</xdr:row>
      <xdr:rowOff>7620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B93C82A1-5595-401B-805B-384C86F6F293}"/>
            </a:ext>
          </a:extLst>
        </xdr:cNvPr>
        <xdr:cNvSpPr/>
      </xdr:nvSpPr>
      <xdr:spPr>
        <a:xfrm>
          <a:off x="1569720" y="23248620"/>
          <a:ext cx="411480" cy="19812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"/>
  <sheetViews>
    <sheetView tabSelected="1" workbookViewId="0">
      <selection activeCell="D10" sqref="D10"/>
    </sheetView>
  </sheetViews>
  <sheetFormatPr defaultRowHeight="14.4" x14ac:dyDescent="0.3"/>
  <cols>
    <col min="1" max="10" width="20.796875" customWidth="1"/>
  </cols>
  <sheetData>
    <row r="1" spans="1:9" ht="15.6" x14ac:dyDescent="0.3">
      <c r="A1" t="s">
        <v>0</v>
      </c>
    </row>
    <row r="2" spans="1:9" ht="15.6" x14ac:dyDescent="0.3">
      <c r="A2" t="s">
        <v>1</v>
      </c>
      <c r="B2" t="s">
        <v>2</v>
      </c>
      <c r="C2" t="s">
        <v>3</v>
      </c>
      <c r="D2" t="s">
        <v>4</v>
      </c>
    </row>
    <row r="3" spans="1:9" ht="15.6" x14ac:dyDescent="0.3">
      <c r="A3">
        <v>0.6</v>
      </c>
      <c r="B3" t="s">
        <v>5</v>
      </c>
      <c r="C3" t="s">
        <v>6</v>
      </c>
      <c r="D3" t="s">
        <v>7</v>
      </c>
    </row>
    <row r="4" spans="1:9" ht="15.6" x14ac:dyDescent="0.3">
      <c r="A4" t="s">
        <v>8</v>
      </c>
      <c r="B4" t="s">
        <v>9</v>
      </c>
      <c r="C4" t="s">
        <v>10</v>
      </c>
      <c r="D4" t="s">
        <v>10</v>
      </c>
    </row>
    <row r="5" spans="1:9" ht="15.6" x14ac:dyDescent="0.3">
      <c r="A5" t="s">
        <v>11</v>
      </c>
      <c r="B5" t="s">
        <v>12</v>
      </c>
      <c r="C5" t="s">
        <v>10</v>
      </c>
      <c r="D5" t="s">
        <v>10</v>
      </c>
    </row>
    <row r="7" spans="1:9" ht="15.6" x14ac:dyDescent="0.3">
      <c r="A7" t="s">
        <v>13</v>
      </c>
    </row>
    <row r="8" spans="1:9" ht="15.6" x14ac:dyDescent="0.3">
      <c r="A8" t="s">
        <v>14</v>
      </c>
      <c r="B8" t="s">
        <v>15</v>
      </c>
      <c r="C8" t="s">
        <v>16</v>
      </c>
      <c r="D8" t="s">
        <v>17</v>
      </c>
      <c r="E8" t="s">
        <v>18</v>
      </c>
      <c r="F8" t="s">
        <v>19</v>
      </c>
      <c r="G8" t="s">
        <v>20</v>
      </c>
      <c r="H8" t="s">
        <v>21</v>
      </c>
      <c r="I8" t="s">
        <v>22</v>
      </c>
    </row>
    <row r="9" spans="1:9" ht="15.6" x14ac:dyDescent="0.3">
      <c r="A9" t="s">
        <v>23</v>
      </c>
      <c r="B9" s="346">
        <f>Sheet2!Q14</f>
        <v>80.09</v>
      </c>
      <c r="C9" t="s">
        <v>24</v>
      </c>
      <c r="D9" t="s">
        <v>25</v>
      </c>
      <c r="E9" t="s">
        <v>26</v>
      </c>
      <c r="F9" t="s">
        <v>27</v>
      </c>
      <c r="G9" t="s">
        <v>27</v>
      </c>
      <c r="H9" t="s">
        <v>28</v>
      </c>
      <c r="I9" t="s">
        <v>29</v>
      </c>
    </row>
    <row r="10" spans="1:9" ht="15.6" x14ac:dyDescent="0.3">
      <c r="A10" t="s">
        <v>26</v>
      </c>
      <c r="B10" s="346">
        <f>Sheet2!Q15</f>
        <v>101.01</v>
      </c>
      <c r="C10" t="s">
        <v>30</v>
      </c>
      <c r="D10" t="s">
        <v>31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</row>
    <row r="11" spans="1:9" ht="15.6" x14ac:dyDescent="0.3">
      <c r="A11" t="s">
        <v>6</v>
      </c>
      <c r="B11" s="346">
        <f>Sheet2!Q16</f>
        <v>120.92</v>
      </c>
      <c r="C11" t="s">
        <v>32</v>
      </c>
      <c r="D11" t="s">
        <v>33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</row>
    <row r="13" spans="1:9" ht="15.6" x14ac:dyDescent="0.3">
      <c r="A13" t="s">
        <v>34</v>
      </c>
    </row>
    <row r="14" spans="1:9" ht="15.6" x14ac:dyDescent="0.3">
      <c r="A14" t="s">
        <v>3</v>
      </c>
      <c r="B14" t="s">
        <v>19</v>
      </c>
      <c r="C14" t="s">
        <v>18</v>
      </c>
      <c r="D14" t="s">
        <v>35</v>
      </c>
      <c r="E14" t="s">
        <v>36</v>
      </c>
      <c r="F14" t="s">
        <v>37</v>
      </c>
      <c r="G14" t="s">
        <v>38</v>
      </c>
    </row>
    <row r="15" spans="1:9" ht="15.6" x14ac:dyDescent="0.3">
      <c r="A15" t="s">
        <v>23</v>
      </c>
      <c r="B15" t="s">
        <v>39</v>
      </c>
      <c r="C15" t="s">
        <v>26</v>
      </c>
      <c r="D15" t="s">
        <v>40</v>
      </c>
      <c r="E15" t="s">
        <v>41</v>
      </c>
      <c r="F15" t="s">
        <v>42</v>
      </c>
      <c r="G15" t="s">
        <v>43</v>
      </c>
    </row>
    <row r="16" spans="1:9" ht="15.6" x14ac:dyDescent="0.3">
      <c r="A16" t="s">
        <v>23</v>
      </c>
      <c r="B16" t="s">
        <v>39</v>
      </c>
      <c r="C16" t="s">
        <v>26</v>
      </c>
      <c r="D16" t="s">
        <v>44</v>
      </c>
      <c r="E16" t="s">
        <v>45</v>
      </c>
      <c r="F16" t="s">
        <v>46</v>
      </c>
      <c r="G16" t="s">
        <v>47</v>
      </c>
    </row>
    <row r="17" spans="1:11" ht="15.6" x14ac:dyDescent="0.3">
      <c r="A17" t="s">
        <v>23</v>
      </c>
      <c r="B17" t="s">
        <v>39</v>
      </c>
      <c r="C17" t="s">
        <v>26</v>
      </c>
      <c r="D17" t="s">
        <v>48</v>
      </c>
      <c r="E17" t="s">
        <v>49</v>
      </c>
      <c r="F17" t="s">
        <v>50</v>
      </c>
      <c r="G17" t="s">
        <v>51</v>
      </c>
    </row>
    <row r="18" spans="1:11" ht="15.6" x14ac:dyDescent="0.3">
      <c r="A18" t="s">
        <v>23</v>
      </c>
      <c r="B18" t="s">
        <v>39</v>
      </c>
      <c r="C18" t="s">
        <v>26</v>
      </c>
      <c r="D18" t="s">
        <v>26</v>
      </c>
      <c r="E18" t="s">
        <v>52</v>
      </c>
      <c r="F18" t="s">
        <v>53</v>
      </c>
      <c r="G18" t="s">
        <v>54</v>
      </c>
    </row>
    <row r="20" spans="1:11" ht="15.6" x14ac:dyDescent="0.3">
      <c r="A20" t="s">
        <v>55</v>
      </c>
    </row>
    <row r="21" spans="1:11" ht="15.6" x14ac:dyDescent="0.3">
      <c r="A21" t="s">
        <v>3</v>
      </c>
      <c r="B21" t="s">
        <v>19</v>
      </c>
      <c r="C21" t="s">
        <v>4</v>
      </c>
      <c r="D21" t="s">
        <v>56</v>
      </c>
      <c r="E21" t="s">
        <v>57</v>
      </c>
      <c r="F21" t="s">
        <v>58</v>
      </c>
    </row>
    <row r="22" spans="1:11" ht="15.6" x14ac:dyDescent="0.3">
      <c r="A22" t="s">
        <v>23</v>
      </c>
      <c r="B22" t="s">
        <v>39</v>
      </c>
      <c r="C22" t="s">
        <v>26</v>
      </c>
      <c r="D22" t="s">
        <v>26</v>
      </c>
      <c r="E22" t="s">
        <v>59</v>
      </c>
      <c r="F22" t="s">
        <v>27</v>
      </c>
    </row>
    <row r="23" spans="1:11" ht="15.6" x14ac:dyDescent="0.3">
      <c r="A23" t="s">
        <v>23</v>
      </c>
      <c r="B23" t="s">
        <v>39</v>
      </c>
      <c r="C23" t="s">
        <v>26</v>
      </c>
      <c r="D23" t="s">
        <v>7</v>
      </c>
      <c r="E23" t="s">
        <v>60</v>
      </c>
      <c r="F23" t="s">
        <v>10</v>
      </c>
    </row>
    <row r="25" spans="1:11" ht="15.6" x14ac:dyDescent="0.3">
      <c r="A25" t="s">
        <v>61</v>
      </c>
    </row>
    <row r="26" spans="1:11" ht="15.6" x14ac:dyDescent="0.3">
      <c r="A26" t="s">
        <v>62</v>
      </c>
      <c r="B26" t="s">
        <v>63</v>
      </c>
      <c r="C26" t="s">
        <v>64</v>
      </c>
      <c r="D26" t="s">
        <v>65</v>
      </c>
      <c r="E26" t="s">
        <v>66</v>
      </c>
    </row>
    <row r="27" spans="1:11" ht="15.6" x14ac:dyDescent="0.3">
      <c r="A27" t="s">
        <v>48</v>
      </c>
      <c r="B27" t="s">
        <v>67</v>
      </c>
      <c r="C27" t="s">
        <v>26</v>
      </c>
      <c r="D27" t="s">
        <v>6</v>
      </c>
      <c r="E27" t="s">
        <v>68</v>
      </c>
    </row>
    <row r="28" spans="1:11" ht="15.6" x14ac:dyDescent="0.3">
      <c r="A28" t="s">
        <v>26</v>
      </c>
      <c r="B28" t="s">
        <v>69</v>
      </c>
      <c r="C28" t="s">
        <v>10</v>
      </c>
      <c r="D28" t="s">
        <v>10</v>
      </c>
      <c r="E28" t="s">
        <v>10</v>
      </c>
    </row>
    <row r="30" spans="1:11" ht="15.6" x14ac:dyDescent="0.3">
      <c r="A30" t="s">
        <v>70</v>
      </c>
    </row>
    <row r="31" spans="1:11" ht="15.6" x14ac:dyDescent="0.3">
      <c r="A31" t="s">
        <v>3</v>
      </c>
      <c r="B31" t="s">
        <v>71</v>
      </c>
      <c r="C31" t="s">
        <v>19</v>
      </c>
      <c r="D31" t="s">
        <v>72</v>
      </c>
      <c r="E31" t="s">
        <v>73</v>
      </c>
      <c r="F31" t="s">
        <v>20</v>
      </c>
      <c r="G31" t="s">
        <v>22</v>
      </c>
      <c r="H31" t="s">
        <v>74</v>
      </c>
      <c r="I31" t="s">
        <v>75</v>
      </c>
      <c r="J31" t="s">
        <v>76</v>
      </c>
      <c r="K31" t="s">
        <v>77</v>
      </c>
    </row>
    <row r="32" spans="1:11" ht="15.6" x14ac:dyDescent="0.3">
      <c r="A32" t="s">
        <v>6</v>
      </c>
      <c r="B32" t="s">
        <v>26</v>
      </c>
      <c r="C32" t="s">
        <v>39</v>
      </c>
      <c r="D32" t="s">
        <v>78</v>
      </c>
      <c r="E32" t="s">
        <v>79</v>
      </c>
      <c r="F32" t="s">
        <v>27</v>
      </c>
      <c r="G32" t="s">
        <v>29</v>
      </c>
      <c r="H32" t="s">
        <v>80</v>
      </c>
      <c r="I32" t="s">
        <v>10</v>
      </c>
      <c r="J32" t="s">
        <v>81</v>
      </c>
      <c r="K32" t="s">
        <v>82</v>
      </c>
    </row>
    <row r="33" spans="1:13" ht="15.6" x14ac:dyDescent="0.3">
      <c r="A33" t="s">
        <v>10</v>
      </c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83</v>
      </c>
      <c r="I33" t="s">
        <v>84</v>
      </c>
      <c r="J33" t="s">
        <v>78</v>
      </c>
      <c r="K33" t="s">
        <v>85</v>
      </c>
    </row>
    <row r="34" spans="1:13" ht="15.6" x14ac:dyDescent="0.3">
      <c r="A34" t="s">
        <v>10</v>
      </c>
      <c r="B34" t="s">
        <v>10</v>
      </c>
      <c r="C34" t="s">
        <v>10</v>
      </c>
      <c r="D34" t="s">
        <v>10</v>
      </c>
      <c r="E34" t="s">
        <v>10</v>
      </c>
      <c r="F34" t="s">
        <v>10</v>
      </c>
      <c r="G34" t="s">
        <v>10</v>
      </c>
      <c r="H34" t="s">
        <v>83</v>
      </c>
      <c r="I34" t="s">
        <v>86</v>
      </c>
      <c r="J34" t="s">
        <v>87</v>
      </c>
      <c r="K34" t="s">
        <v>88</v>
      </c>
    </row>
    <row r="35" spans="1:13" ht="15.6" x14ac:dyDescent="0.3">
      <c r="A35" t="s">
        <v>10</v>
      </c>
      <c r="B35" t="s">
        <v>10</v>
      </c>
      <c r="C35" t="s">
        <v>10</v>
      </c>
      <c r="D35" t="s">
        <v>10</v>
      </c>
      <c r="E35" t="s">
        <v>10</v>
      </c>
      <c r="F35" t="s">
        <v>10</v>
      </c>
      <c r="G35" t="s">
        <v>10</v>
      </c>
      <c r="H35" t="s">
        <v>83</v>
      </c>
      <c r="I35" t="s">
        <v>89</v>
      </c>
      <c r="J35" t="s">
        <v>90</v>
      </c>
      <c r="K35" t="s">
        <v>91</v>
      </c>
    </row>
    <row r="37" spans="1:13" ht="15.6" x14ac:dyDescent="0.3">
      <c r="A37" t="s">
        <v>92</v>
      </c>
    </row>
    <row r="38" spans="1:13" ht="15.6" x14ac:dyDescent="0.3">
      <c r="A38" t="s">
        <v>93</v>
      </c>
      <c r="B38" t="s">
        <v>94</v>
      </c>
      <c r="C38" t="s">
        <v>95</v>
      </c>
      <c r="D38" t="s">
        <v>96</v>
      </c>
      <c r="E38" t="s">
        <v>97</v>
      </c>
    </row>
    <row r="39" spans="1:13" ht="15.6" x14ac:dyDescent="0.3">
      <c r="A39" t="s">
        <v>6</v>
      </c>
      <c r="B39" t="s">
        <v>26</v>
      </c>
      <c r="C39" t="s">
        <v>98</v>
      </c>
      <c r="D39" t="s">
        <v>27</v>
      </c>
      <c r="E39" t="s">
        <v>99</v>
      </c>
    </row>
    <row r="41" spans="1:13" ht="15.6" x14ac:dyDescent="0.3">
      <c r="A41" t="s">
        <v>100</v>
      </c>
    </row>
    <row r="42" spans="1:13" ht="15.6" x14ac:dyDescent="0.3">
      <c r="A42" t="s">
        <v>71</v>
      </c>
      <c r="B42" t="s">
        <v>19</v>
      </c>
      <c r="C42" t="s">
        <v>101</v>
      </c>
      <c r="D42" t="s">
        <v>3</v>
      </c>
      <c r="E42" t="s">
        <v>36</v>
      </c>
      <c r="F42" t="s">
        <v>37</v>
      </c>
      <c r="G42" t="s">
        <v>38</v>
      </c>
      <c r="H42" t="s">
        <v>102</v>
      </c>
      <c r="I42" t="s">
        <v>103</v>
      </c>
      <c r="J42" t="s">
        <v>104</v>
      </c>
      <c r="K42" t="s">
        <v>66</v>
      </c>
    </row>
    <row r="43" spans="1:13" ht="15.6" x14ac:dyDescent="0.3">
      <c r="A43" t="s">
        <v>26</v>
      </c>
      <c r="B43" t="s">
        <v>27</v>
      </c>
      <c r="C43" t="s">
        <v>98</v>
      </c>
      <c r="D43" t="s">
        <v>6</v>
      </c>
      <c r="E43" t="s">
        <v>105</v>
      </c>
      <c r="F43" t="s">
        <v>31</v>
      </c>
      <c r="G43" t="s">
        <v>106</v>
      </c>
      <c r="H43" t="s">
        <v>107</v>
      </c>
      <c r="I43" t="s">
        <v>105</v>
      </c>
      <c r="J43" t="s">
        <v>10</v>
      </c>
      <c r="K43" t="s">
        <v>108</v>
      </c>
    </row>
    <row r="45" spans="1:13" ht="15.6" x14ac:dyDescent="0.3">
      <c r="A45" t="s">
        <v>109</v>
      </c>
    </row>
    <row r="46" spans="1:13" ht="15.6" x14ac:dyDescent="0.3">
      <c r="A46" t="s">
        <v>65</v>
      </c>
      <c r="B46" t="s">
        <v>4</v>
      </c>
      <c r="C46" t="s">
        <v>110</v>
      </c>
      <c r="D46" t="s">
        <v>111</v>
      </c>
      <c r="E46" t="s">
        <v>112</v>
      </c>
      <c r="F46" t="s">
        <v>20</v>
      </c>
      <c r="G46" t="s">
        <v>113</v>
      </c>
      <c r="H46" t="s">
        <v>114</v>
      </c>
      <c r="I46" t="s">
        <v>115</v>
      </c>
      <c r="J46" t="s">
        <v>116</v>
      </c>
      <c r="K46" t="s">
        <v>117</v>
      </c>
      <c r="L46" t="s">
        <v>118</v>
      </c>
      <c r="M46" t="s">
        <v>119</v>
      </c>
    </row>
    <row r="47" spans="1:13" ht="15.6" x14ac:dyDescent="0.3">
      <c r="A47" t="s">
        <v>6</v>
      </c>
      <c r="B47" t="s">
        <v>26</v>
      </c>
      <c r="C47" t="s">
        <v>98</v>
      </c>
      <c r="D47" t="s">
        <v>120</v>
      </c>
      <c r="E47" t="s">
        <v>121</v>
      </c>
      <c r="F47" t="s">
        <v>98</v>
      </c>
      <c r="G47" t="s">
        <v>122</v>
      </c>
      <c r="H47" t="s">
        <v>123</v>
      </c>
      <c r="I47" t="s">
        <v>124</v>
      </c>
      <c r="J47" t="s">
        <v>108</v>
      </c>
      <c r="K47" t="s">
        <v>125</v>
      </c>
      <c r="L47" t="s">
        <v>126</v>
      </c>
      <c r="M47" t="s">
        <v>127</v>
      </c>
    </row>
    <row r="48" spans="1:13" ht="15.6" x14ac:dyDescent="0.3">
      <c r="A48" t="s">
        <v>10</v>
      </c>
      <c r="B48" t="s">
        <v>10</v>
      </c>
      <c r="C48" t="s">
        <v>10</v>
      </c>
      <c r="D48" t="s">
        <v>10</v>
      </c>
      <c r="E48" t="s">
        <v>10</v>
      </c>
      <c r="F48" t="s">
        <v>10</v>
      </c>
      <c r="G48" t="s">
        <v>10</v>
      </c>
      <c r="H48" t="s">
        <v>10</v>
      </c>
      <c r="I48" t="s">
        <v>128</v>
      </c>
      <c r="J48" t="s">
        <v>129</v>
      </c>
      <c r="K48" t="s">
        <v>129</v>
      </c>
      <c r="L48" t="s">
        <v>125</v>
      </c>
      <c r="M48" t="s">
        <v>130</v>
      </c>
    </row>
    <row r="50" spans="1:8" ht="15.6" x14ac:dyDescent="0.3">
      <c r="A50" t="s">
        <v>131</v>
      </c>
    </row>
    <row r="51" spans="1:8" ht="15.6" x14ac:dyDescent="0.3">
      <c r="A51" t="s">
        <v>132</v>
      </c>
      <c r="B51" t="s">
        <v>133</v>
      </c>
      <c r="C51" t="s">
        <v>3</v>
      </c>
      <c r="D51" t="s">
        <v>4</v>
      </c>
      <c r="E51" t="s">
        <v>96</v>
      </c>
      <c r="F51" t="s">
        <v>134</v>
      </c>
    </row>
    <row r="52" spans="1:8" ht="15.6" x14ac:dyDescent="0.3">
      <c r="A52" t="s">
        <v>11</v>
      </c>
      <c r="B52" t="s">
        <v>98</v>
      </c>
      <c r="C52" t="s">
        <v>6</v>
      </c>
      <c r="D52" t="s">
        <v>7</v>
      </c>
      <c r="E52" t="s">
        <v>27</v>
      </c>
      <c r="F52" t="s">
        <v>135</v>
      </c>
    </row>
    <row r="54" spans="1:8" ht="15.6" x14ac:dyDescent="0.3">
      <c r="A54" t="s">
        <v>136</v>
      </c>
    </row>
    <row r="55" spans="1:8" ht="15.6" x14ac:dyDescent="0.3">
      <c r="A55" t="s">
        <v>132</v>
      </c>
      <c r="B55" t="s">
        <v>137</v>
      </c>
      <c r="C55" t="s">
        <v>3</v>
      </c>
      <c r="D55" t="s">
        <v>71</v>
      </c>
      <c r="E55" t="s">
        <v>96</v>
      </c>
      <c r="F55" t="s">
        <v>134</v>
      </c>
    </row>
    <row r="56" spans="1:8" ht="15.6" x14ac:dyDescent="0.3">
      <c r="A56" t="s">
        <v>138</v>
      </c>
      <c r="B56" t="s">
        <v>39</v>
      </c>
      <c r="C56" t="s">
        <v>6</v>
      </c>
      <c r="D56" t="s">
        <v>7</v>
      </c>
      <c r="E56" t="s">
        <v>27</v>
      </c>
      <c r="F56" t="s">
        <v>135</v>
      </c>
    </row>
    <row r="58" spans="1:8" ht="15.6" x14ac:dyDescent="0.3">
      <c r="A58" t="s">
        <v>139</v>
      </c>
    </row>
    <row r="59" spans="1:8" ht="15.6" x14ac:dyDescent="0.3">
      <c r="A59" t="s">
        <v>63</v>
      </c>
      <c r="B59" t="s">
        <v>66</v>
      </c>
    </row>
    <row r="60" spans="1:8" ht="15.6" x14ac:dyDescent="0.3">
      <c r="A60" t="s">
        <v>140</v>
      </c>
      <c r="B60" t="s">
        <v>141</v>
      </c>
    </row>
    <row r="62" spans="1:8" ht="15.6" x14ac:dyDescent="0.3">
      <c r="A62" t="s">
        <v>142</v>
      </c>
    </row>
    <row r="63" spans="1:8" ht="15.6" x14ac:dyDescent="0.3">
      <c r="A63" t="s">
        <v>143</v>
      </c>
      <c r="B63" t="s">
        <v>144</v>
      </c>
      <c r="C63" t="s">
        <v>2</v>
      </c>
      <c r="D63" t="s">
        <v>145</v>
      </c>
      <c r="E63" t="s">
        <v>146</v>
      </c>
      <c r="F63" t="s">
        <v>3</v>
      </c>
      <c r="G63" t="s">
        <v>4</v>
      </c>
      <c r="H63" t="s">
        <v>96</v>
      </c>
    </row>
    <row r="64" spans="1:8" ht="15.6" x14ac:dyDescent="0.3">
      <c r="A64" t="s">
        <v>40</v>
      </c>
      <c r="B64" t="s">
        <v>40</v>
      </c>
      <c r="C64" t="s">
        <v>41</v>
      </c>
      <c r="D64" t="s">
        <v>147</v>
      </c>
      <c r="E64" t="s">
        <v>26</v>
      </c>
      <c r="F64" t="s">
        <v>6</v>
      </c>
      <c r="G64" t="s">
        <v>7</v>
      </c>
      <c r="H64" t="s">
        <v>39</v>
      </c>
    </row>
    <row r="65" spans="1:9" ht="15.6" x14ac:dyDescent="0.3">
      <c r="A65" t="s">
        <v>44</v>
      </c>
      <c r="B65" t="s">
        <v>44</v>
      </c>
      <c r="C65" t="s">
        <v>148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</row>
    <row r="67" spans="1:9" ht="15.6" x14ac:dyDescent="0.3">
      <c r="A67" t="s">
        <v>149</v>
      </c>
    </row>
    <row r="68" spans="1:9" ht="15.6" x14ac:dyDescent="0.3">
      <c r="A68" t="s">
        <v>74</v>
      </c>
      <c r="B68" t="s">
        <v>150</v>
      </c>
      <c r="C68" t="s">
        <v>151</v>
      </c>
    </row>
    <row r="69" spans="1:9" ht="15.6" x14ac:dyDescent="0.3">
      <c r="A69" t="s">
        <v>152</v>
      </c>
      <c r="B69" t="s">
        <v>153</v>
      </c>
      <c r="C69" t="s">
        <v>154</v>
      </c>
    </row>
    <row r="70" spans="1:9" ht="15.6" x14ac:dyDescent="0.3">
      <c r="A70" t="s">
        <v>155</v>
      </c>
      <c r="B70" t="s">
        <v>147</v>
      </c>
      <c r="C70" t="s">
        <v>138</v>
      </c>
    </row>
    <row r="71" spans="1:9" ht="15.6" x14ac:dyDescent="0.3">
      <c r="A71" t="s">
        <v>155</v>
      </c>
      <c r="B71" t="s">
        <v>156</v>
      </c>
      <c r="C71" t="s">
        <v>157</v>
      </c>
    </row>
    <row r="73" spans="1:9" ht="15.6" x14ac:dyDescent="0.3">
      <c r="A73" t="s">
        <v>158</v>
      </c>
    </row>
    <row r="74" spans="1:9" ht="15.6" x14ac:dyDescent="0.3">
      <c r="A74" t="s">
        <v>115</v>
      </c>
      <c r="B74" t="s">
        <v>159</v>
      </c>
      <c r="C74" t="s">
        <v>160</v>
      </c>
      <c r="D74" t="s">
        <v>161</v>
      </c>
      <c r="E74" t="s">
        <v>162</v>
      </c>
      <c r="F74" t="s">
        <v>4</v>
      </c>
      <c r="G74" t="s">
        <v>65</v>
      </c>
      <c r="H74" t="s">
        <v>95</v>
      </c>
      <c r="I74" t="s">
        <v>111</v>
      </c>
    </row>
    <row r="75" spans="1:9" ht="15.6" x14ac:dyDescent="0.3">
      <c r="A75" t="s">
        <v>163</v>
      </c>
      <c r="B75" t="s">
        <v>129</v>
      </c>
      <c r="C75" t="s">
        <v>164</v>
      </c>
      <c r="D75" t="s">
        <v>165</v>
      </c>
      <c r="E75" t="s">
        <v>166</v>
      </c>
      <c r="F75" t="s">
        <v>26</v>
      </c>
      <c r="G75" t="s">
        <v>23</v>
      </c>
      <c r="H75" t="s">
        <v>138</v>
      </c>
      <c r="I75" t="s">
        <v>167</v>
      </c>
    </row>
    <row r="76" spans="1:9" ht="15.6" x14ac:dyDescent="0.3">
      <c r="A76" t="s">
        <v>168</v>
      </c>
      <c r="B76" t="s">
        <v>108</v>
      </c>
      <c r="C76" t="s">
        <v>164</v>
      </c>
      <c r="D76" t="s">
        <v>10</v>
      </c>
      <c r="E76" t="s">
        <v>10</v>
      </c>
      <c r="F76" t="s">
        <v>10</v>
      </c>
      <c r="G76" t="s">
        <v>10</v>
      </c>
      <c r="H76" t="s">
        <v>10</v>
      </c>
      <c r="I76" t="s">
        <v>10</v>
      </c>
    </row>
  </sheetData>
  <pageMargins left="0.7" right="0.7" top="0.75" bottom="0.75" header="0.3" footer="0.3"/>
  <ignoredErrors>
    <ignoredError sqref="A1:M2 A5:M8 A4:H4 J4:M4 B3:M3 A12:M76 A9 C9:M9 A10 C10:M10 A11 C11:M1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3A2B-E632-46CB-B207-5A059ED358E9}">
  <dimension ref="A1:AA145"/>
  <sheetViews>
    <sheetView topLeftCell="D9" workbookViewId="0">
      <selection activeCell="Q14" sqref="Q14"/>
    </sheetView>
  </sheetViews>
  <sheetFormatPr defaultColWidth="8" defaultRowHeight="15.6" x14ac:dyDescent="0.3"/>
  <cols>
    <col min="1" max="1" width="20.09765625" customWidth="1"/>
    <col min="2" max="2" width="8.09765625" bestFit="1" customWidth="1"/>
    <col min="3" max="3" width="10" customWidth="1"/>
    <col min="4" max="4" width="11.3984375" customWidth="1"/>
    <col min="5" max="5" width="14.59765625" customWidth="1"/>
    <col min="6" max="6" width="13.8984375" customWidth="1"/>
    <col min="7" max="7" width="9.8984375" customWidth="1"/>
    <col min="8" max="8" width="12.19921875" customWidth="1"/>
    <col min="9" max="9" width="9.796875" customWidth="1"/>
    <col min="14" max="14" width="8.296875" bestFit="1" customWidth="1"/>
    <col min="16" max="20" width="8.09765625" bestFit="1" customWidth="1"/>
    <col min="21" max="21" width="7.8984375" customWidth="1"/>
    <col min="22" max="22" width="0.19921875" hidden="1" customWidth="1"/>
    <col min="23" max="23" width="9.765625E-2" hidden="1" customWidth="1"/>
    <col min="24" max="24" width="11.59765625" customWidth="1"/>
    <col min="25" max="25" width="8.09765625" bestFit="1" customWidth="1"/>
  </cols>
  <sheetData>
    <row r="1" spans="1:27" x14ac:dyDescent="0.3">
      <c r="A1" s="1" t="s">
        <v>169</v>
      </c>
      <c r="B1" s="2" t="s">
        <v>170</v>
      </c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5"/>
      <c r="O1" s="5"/>
      <c r="P1" s="6"/>
    </row>
    <row r="2" spans="1:27" x14ac:dyDescent="0.3">
      <c r="A2" s="7" t="s">
        <v>171</v>
      </c>
      <c r="B2" s="2" t="s">
        <v>172</v>
      </c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</row>
    <row r="3" spans="1:27" x14ac:dyDescent="0.3">
      <c r="A3" s="7"/>
      <c r="B3" s="2" t="s">
        <v>173</v>
      </c>
      <c r="C3" s="2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</row>
    <row r="4" spans="1:27" x14ac:dyDescent="0.3">
      <c r="A4" s="8" t="s">
        <v>174</v>
      </c>
      <c r="B4" s="2"/>
      <c r="C4" s="2"/>
      <c r="D4" s="2"/>
      <c r="E4" s="2"/>
      <c r="F4" s="2"/>
      <c r="G4" s="2"/>
      <c r="H4" s="2"/>
      <c r="I4" s="2"/>
      <c r="J4" s="3"/>
      <c r="K4" s="3"/>
      <c r="L4" s="3"/>
      <c r="M4" s="3"/>
      <c r="N4" s="3"/>
      <c r="O4" s="3"/>
    </row>
    <row r="5" spans="1:27" x14ac:dyDescent="0.3">
      <c r="A5" s="7" t="s">
        <v>175</v>
      </c>
      <c r="B5" s="2" t="s">
        <v>176</v>
      </c>
      <c r="C5" s="2"/>
      <c r="D5" s="2"/>
      <c r="E5" s="2"/>
      <c r="F5" s="7" t="s">
        <v>177</v>
      </c>
      <c r="G5" s="9">
        <v>22.7</v>
      </c>
      <c r="H5" s="9"/>
      <c r="I5" s="9"/>
      <c r="J5" s="3"/>
      <c r="K5" s="3"/>
      <c r="L5" s="3"/>
      <c r="M5" s="3"/>
      <c r="N5" s="3"/>
      <c r="O5" s="3"/>
    </row>
    <row r="6" spans="1:27" x14ac:dyDescent="0.3">
      <c r="A6" s="7" t="s">
        <v>178</v>
      </c>
      <c r="B6" s="2" t="s">
        <v>179</v>
      </c>
      <c r="C6" s="2"/>
      <c r="D6" s="2"/>
      <c r="E6" s="2"/>
      <c r="F6" s="7" t="s">
        <v>180</v>
      </c>
      <c r="G6" s="9">
        <v>50.2</v>
      </c>
      <c r="H6" s="9"/>
      <c r="I6" s="9"/>
      <c r="J6" s="3"/>
      <c r="K6" s="3"/>
      <c r="L6" s="3"/>
      <c r="M6" s="3"/>
      <c r="N6" s="3"/>
      <c r="O6" s="3"/>
    </row>
    <row r="7" spans="1:27" x14ac:dyDescent="0.3">
      <c r="A7" s="7" t="s">
        <v>181</v>
      </c>
      <c r="B7" s="2" t="s">
        <v>182</v>
      </c>
      <c r="C7" s="2"/>
      <c r="D7" s="2"/>
      <c r="E7" s="2"/>
      <c r="F7" s="7" t="s">
        <v>74</v>
      </c>
      <c r="G7" s="2" t="s">
        <v>183</v>
      </c>
      <c r="H7" s="2"/>
      <c r="I7" s="2"/>
      <c r="J7" s="3"/>
      <c r="K7" s="3"/>
      <c r="L7" s="3"/>
      <c r="M7" s="3"/>
      <c r="N7" s="3"/>
    </row>
    <row r="8" spans="1:27" x14ac:dyDescent="0.3">
      <c r="A8" s="7" t="s">
        <v>184</v>
      </c>
      <c r="B8" s="10">
        <v>46066</v>
      </c>
      <c r="C8" s="2"/>
      <c r="D8" s="2"/>
      <c r="E8" s="2"/>
      <c r="F8" s="7"/>
      <c r="G8" s="2"/>
      <c r="H8" s="2"/>
      <c r="I8" s="2"/>
      <c r="J8" s="3"/>
      <c r="K8" s="3"/>
      <c r="L8" s="3"/>
      <c r="M8" s="3"/>
      <c r="N8" s="3"/>
    </row>
    <row r="9" spans="1:27" ht="14.4" customHeight="1" x14ac:dyDescent="0.3">
      <c r="A9" s="7"/>
      <c r="B9" s="11"/>
      <c r="C9" s="11"/>
      <c r="D9" s="11"/>
      <c r="E9" s="11"/>
      <c r="F9" s="8"/>
      <c r="G9" s="11"/>
      <c r="H9" s="11"/>
      <c r="I9" s="11"/>
      <c r="J9" s="3"/>
      <c r="K9" s="3"/>
      <c r="L9" s="3"/>
      <c r="M9" s="3"/>
      <c r="N9" s="3"/>
    </row>
    <row r="10" spans="1:27" ht="16.2" thickBot="1" x14ac:dyDescent="0.35">
      <c r="A10" s="12" t="s">
        <v>185</v>
      </c>
      <c r="B10" s="13" t="s">
        <v>186</v>
      </c>
      <c r="C10" s="13"/>
      <c r="D10" s="13"/>
      <c r="E10" s="13"/>
      <c r="F10" s="13"/>
      <c r="G10" s="13"/>
      <c r="H10" s="13"/>
      <c r="I10" s="14"/>
      <c r="J10" s="3"/>
      <c r="K10" s="3"/>
      <c r="L10" s="3"/>
      <c r="M10" s="3"/>
      <c r="N10" s="3"/>
    </row>
    <row r="11" spans="1:27" ht="16.2" thickBot="1" x14ac:dyDescent="0.35">
      <c r="A11" s="15" t="s">
        <v>187</v>
      </c>
      <c r="B11" s="16"/>
      <c r="C11" s="17"/>
      <c r="D11" s="16" t="s">
        <v>188</v>
      </c>
      <c r="E11" s="16"/>
      <c r="F11" s="16"/>
      <c r="G11" s="16"/>
      <c r="H11" s="16"/>
      <c r="I11" s="17"/>
      <c r="J11" s="18"/>
      <c r="K11" s="18"/>
      <c r="L11" s="18"/>
      <c r="M11" s="18"/>
      <c r="N11" s="18"/>
      <c r="P11" s="19" t="s">
        <v>189</v>
      </c>
      <c r="Q11" s="20"/>
      <c r="R11" s="20"/>
      <c r="S11" s="20"/>
      <c r="T11" s="20"/>
      <c r="U11" s="20"/>
      <c r="V11" s="20"/>
      <c r="W11" s="20"/>
      <c r="X11" s="21"/>
    </row>
    <row r="12" spans="1:27" ht="16.2" thickBot="1" x14ac:dyDescent="0.35">
      <c r="A12" s="22" t="s">
        <v>190</v>
      </c>
      <c r="B12" s="23" t="s">
        <v>4</v>
      </c>
      <c r="C12" s="23" t="s">
        <v>110</v>
      </c>
      <c r="D12" s="23" t="s">
        <v>190</v>
      </c>
      <c r="E12" s="23" t="s">
        <v>191</v>
      </c>
      <c r="F12" s="23" t="s">
        <v>192</v>
      </c>
      <c r="G12" s="23" t="s">
        <v>193</v>
      </c>
      <c r="H12" s="23" t="s">
        <v>194</v>
      </c>
      <c r="I12" s="24" t="s">
        <v>195</v>
      </c>
      <c r="J12" s="18"/>
      <c r="K12" s="18"/>
      <c r="L12" s="18"/>
      <c r="M12" s="18" t="s">
        <v>65</v>
      </c>
      <c r="N12" s="18" t="s">
        <v>196</v>
      </c>
      <c r="P12" s="25" t="s">
        <v>197</v>
      </c>
      <c r="Q12" s="11" t="s">
        <v>198</v>
      </c>
      <c r="R12" s="11"/>
      <c r="S12" s="11"/>
      <c r="T12" s="26" t="s">
        <v>199</v>
      </c>
      <c r="U12" s="27" t="s">
        <v>200</v>
      </c>
      <c r="V12" s="26"/>
      <c r="W12" s="8"/>
      <c r="X12" s="28" t="s">
        <v>201</v>
      </c>
    </row>
    <row r="13" spans="1:27" ht="16.2" thickBot="1" x14ac:dyDescent="0.35">
      <c r="A13" s="29">
        <v>80</v>
      </c>
      <c r="B13" s="29">
        <v>10</v>
      </c>
      <c r="C13" s="29">
        <v>1</v>
      </c>
      <c r="D13" s="30">
        <v>80.089508056640625</v>
      </c>
      <c r="E13" s="30">
        <v>1009.7550048828125</v>
      </c>
      <c r="F13" s="30">
        <v>0.53200346456088066</v>
      </c>
      <c r="G13" s="30">
        <v>0.52686382586796521</v>
      </c>
      <c r="H13" s="30">
        <v>5.3412013053894043</v>
      </c>
      <c r="I13" s="30">
        <v>9.155095100402832</v>
      </c>
      <c r="M13">
        <f>ROUND(D13,2)</f>
        <v>80.09</v>
      </c>
      <c r="N13">
        <f>ROUND(F13,4)</f>
        <v>0.53200000000000003</v>
      </c>
      <c r="P13" s="31"/>
      <c r="Q13" s="32">
        <f>B14</f>
        <v>10</v>
      </c>
      <c r="R13" s="32">
        <f>B17</f>
        <v>100</v>
      </c>
      <c r="S13" s="32">
        <f>B22</f>
        <v>350</v>
      </c>
      <c r="T13" s="33"/>
      <c r="U13" s="34"/>
      <c r="V13" s="33"/>
      <c r="W13" s="35"/>
      <c r="X13" s="36"/>
    </row>
    <row r="14" spans="1:27" x14ac:dyDescent="0.3">
      <c r="A14" s="37">
        <v>80</v>
      </c>
      <c r="B14" s="37">
        <v>10</v>
      </c>
      <c r="C14" s="37">
        <v>1</v>
      </c>
      <c r="D14" s="38">
        <v>80.092048645019531</v>
      </c>
      <c r="E14" s="38">
        <v>1009.219970703125</v>
      </c>
      <c r="F14" s="38">
        <v>0.53090225072621677</v>
      </c>
      <c r="G14" s="38">
        <v>0.52605203254648436</v>
      </c>
      <c r="H14" s="38">
        <v>5.3462395668029785</v>
      </c>
      <c r="I14" s="38">
        <v>9.1747226715087891</v>
      </c>
      <c r="M14">
        <f>ROUND(D14,2)</f>
        <v>80.09</v>
      </c>
      <c r="N14">
        <f t="shared" ref="N14:N51" si="0">ROUND(F14,4)</f>
        <v>0.53090000000000004</v>
      </c>
      <c r="P14" s="39">
        <f>A14</f>
        <v>80</v>
      </c>
      <c r="Q14" s="40">
        <f>M14</f>
        <v>80.09</v>
      </c>
      <c r="R14" s="40">
        <f>M17</f>
        <v>80.06</v>
      </c>
      <c r="S14" s="40">
        <f>M22</f>
        <v>79.8</v>
      </c>
      <c r="T14" s="41">
        <f>ROUND(AVERAGE(Q14:S14),2)</f>
        <v>79.98</v>
      </c>
      <c r="U14" s="42" t="str">
        <f>IF(AND(X14&lt;2), "Pass", "Fail")</f>
        <v>Pass</v>
      </c>
      <c r="V14" s="43"/>
      <c r="W14" s="43"/>
      <c r="X14" s="44">
        <f>ABS(P14-T14)</f>
        <v>1.9999999999996021E-2</v>
      </c>
      <c r="Y14" s="45" t="s">
        <v>202</v>
      </c>
      <c r="Z14" s="46"/>
      <c r="AA14" s="46"/>
    </row>
    <row r="15" spans="1:27" x14ac:dyDescent="0.3">
      <c r="A15" s="37">
        <v>80</v>
      </c>
      <c r="B15" s="37">
        <v>10</v>
      </c>
      <c r="C15" s="37">
        <v>2</v>
      </c>
      <c r="D15" s="38">
        <v>80.040214538574219</v>
      </c>
      <c r="E15" s="38">
        <v>2009.4300537109375</v>
      </c>
      <c r="F15" s="38">
        <v>1.0568827061565376</v>
      </c>
      <c r="G15" s="38">
        <v>0.52425365436853733</v>
      </c>
      <c r="H15" s="38">
        <v>5.3467330932617188</v>
      </c>
      <c r="I15" s="38">
        <v>9.190093994140625</v>
      </c>
      <c r="M15">
        <f t="shared" ref="M15:M51" si="1">ROUND(D15,2)</f>
        <v>80.040000000000006</v>
      </c>
      <c r="N15">
        <f t="shared" si="0"/>
        <v>1.0569</v>
      </c>
      <c r="P15" s="47">
        <f>A23</f>
        <v>100</v>
      </c>
      <c r="Q15" s="48">
        <f>M23</f>
        <v>101.01</v>
      </c>
      <c r="R15" s="48">
        <f>M24</f>
        <v>101.08</v>
      </c>
      <c r="S15" s="48">
        <f>M29</f>
        <v>101.05</v>
      </c>
      <c r="T15" s="49">
        <f>ROUND(AVERAGE(Q15:S15),2)</f>
        <v>101.05</v>
      </c>
      <c r="U15" s="50" t="str">
        <f t="shared" ref="U15:U17" si="2">IF(AND(X15&lt;2), "Pass", "Fail")</f>
        <v>Pass</v>
      </c>
      <c r="V15" s="8"/>
      <c r="W15" s="8"/>
      <c r="X15" s="51">
        <f t="shared" ref="X15:X17" si="3">ABS(P15-T15)</f>
        <v>1.0499999999999972</v>
      </c>
    </row>
    <row r="16" spans="1:27" x14ac:dyDescent="0.3">
      <c r="A16" s="37">
        <v>80</v>
      </c>
      <c r="B16" s="37">
        <v>10</v>
      </c>
      <c r="C16" s="37">
        <v>3</v>
      </c>
      <c r="D16" s="38">
        <v>80.065841674804688</v>
      </c>
      <c r="E16" s="38">
        <v>3008.136962890625</v>
      </c>
      <c r="F16" s="38">
        <v>1.5836110227887408</v>
      </c>
      <c r="G16" s="38">
        <v>0.52529937371920676</v>
      </c>
      <c r="H16" s="38">
        <v>5.3418159484863281</v>
      </c>
      <c r="I16" s="38">
        <v>9.1636581420898438</v>
      </c>
      <c r="L16" t="s">
        <v>203</v>
      </c>
      <c r="M16">
        <f t="shared" si="1"/>
        <v>80.069999999999993</v>
      </c>
      <c r="N16">
        <f t="shared" si="0"/>
        <v>1.5835999999999999</v>
      </c>
      <c r="P16" s="47">
        <f>A30</f>
        <v>120</v>
      </c>
      <c r="Q16" s="48">
        <f>M30</f>
        <v>120.92</v>
      </c>
      <c r="R16" s="48">
        <f>M34</f>
        <v>120.93</v>
      </c>
      <c r="S16" s="48">
        <f>M42</f>
        <v>121.31</v>
      </c>
      <c r="T16" s="49">
        <f>ROUND(AVERAGE(Q16:S16),2)</f>
        <v>121.05</v>
      </c>
      <c r="U16" s="50" t="str">
        <f t="shared" si="2"/>
        <v>Pass</v>
      </c>
      <c r="V16" s="8"/>
      <c r="W16" s="8"/>
      <c r="X16" s="51">
        <f t="shared" si="3"/>
        <v>1.0499999999999972</v>
      </c>
    </row>
    <row r="17" spans="1:24" ht="16.2" thickBot="1" x14ac:dyDescent="0.35">
      <c r="A17" s="37">
        <v>80</v>
      </c>
      <c r="B17" s="37">
        <v>100</v>
      </c>
      <c r="C17" s="37">
        <v>1</v>
      </c>
      <c r="D17" s="38">
        <v>80.063262939453125</v>
      </c>
      <c r="E17" s="38">
        <v>1007.7470092773438</v>
      </c>
      <c r="F17" s="38">
        <v>5.2957562539370615</v>
      </c>
      <c r="G17" s="38">
        <v>5.2550452653337141</v>
      </c>
      <c r="H17" s="38">
        <v>5.3355674743652344</v>
      </c>
      <c r="I17" s="38">
        <v>9.139195442199707</v>
      </c>
      <c r="M17">
        <f t="shared" si="1"/>
        <v>80.06</v>
      </c>
      <c r="N17">
        <f t="shared" si="0"/>
        <v>5.2957999999999998</v>
      </c>
      <c r="P17" s="52">
        <f>A45</f>
        <v>140</v>
      </c>
      <c r="Q17" s="53">
        <f>M45</f>
        <v>141.65</v>
      </c>
      <c r="R17" s="53">
        <f>M46</f>
        <v>141.59</v>
      </c>
      <c r="S17" s="53" t="s">
        <v>204</v>
      </c>
      <c r="T17" s="54">
        <f>ROUND(AVERAGE(Q17:S17),2)</f>
        <v>141.62</v>
      </c>
      <c r="U17" s="55" t="str">
        <f t="shared" si="2"/>
        <v>Pass</v>
      </c>
      <c r="V17" s="56"/>
      <c r="W17" s="56"/>
      <c r="X17" s="57">
        <f t="shared" si="3"/>
        <v>1.6200000000000045</v>
      </c>
    </row>
    <row r="18" spans="1:24" ht="16.2" thickBot="1" x14ac:dyDescent="0.35">
      <c r="A18" s="37">
        <v>80</v>
      </c>
      <c r="B18" s="37">
        <v>100</v>
      </c>
      <c r="C18" s="37">
        <v>1</v>
      </c>
      <c r="D18" s="38">
        <v>80.060577392578125</v>
      </c>
      <c r="E18" s="38">
        <v>1007.7420043945313</v>
      </c>
      <c r="F18" s="38">
        <v>5.2999179850117768</v>
      </c>
      <c r="G18" s="38">
        <v>5.259200978481104</v>
      </c>
      <c r="H18" s="38">
        <v>5.338630199432373</v>
      </c>
      <c r="I18" s="38">
        <v>9.1521940231323242</v>
      </c>
      <c r="M18">
        <f t="shared" si="1"/>
        <v>80.06</v>
      </c>
      <c r="N18">
        <f t="shared" si="0"/>
        <v>5.2999000000000001</v>
      </c>
      <c r="P18" s="58" t="s">
        <v>205</v>
      </c>
      <c r="Q18" s="59"/>
      <c r="R18" s="59"/>
      <c r="S18" s="59"/>
      <c r="T18" s="59"/>
      <c r="U18" s="59"/>
      <c r="V18" s="60"/>
      <c r="W18" s="61"/>
      <c r="X18" s="62"/>
    </row>
    <row r="19" spans="1:24" ht="16.2" thickBot="1" x14ac:dyDescent="0.35">
      <c r="A19" s="37">
        <v>80</v>
      </c>
      <c r="B19" s="37">
        <v>100</v>
      </c>
      <c r="C19" s="37">
        <v>1</v>
      </c>
      <c r="D19" s="38">
        <v>80.079856872558594</v>
      </c>
      <c r="E19" s="38">
        <v>1008.2249755859375</v>
      </c>
      <c r="F19" s="38">
        <v>5.3005181729636837</v>
      </c>
      <c r="G19" s="38">
        <v>5.257277470598992</v>
      </c>
      <c r="H19" s="38">
        <v>5.3371672630310059</v>
      </c>
      <c r="I19" s="38">
        <v>9.1413602828979492</v>
      </c>
      <c r="M19">
        <f t="shared" si="1"/>
        <v>80.08</v>
      </c>
      <c r="N19">
        <f t="shared" si="0"/>
        <v>5.3005000000000004</v>
      </c>
      <c r="P19" s="63"/>
      <c r="Q19" s="63"/>
      <c r="R19" s="63"/>
      <c r="S19" s="63"/>
      <c r="T19" s="63"/>
      <c r="U19" s="63"/>
      <c r="V19" s="63"/>
    </row>
    <row r="20" spans="1:24" x14ac:dyDescent="0.3">
      <c r="A20" s="37">
        <v>80</v>
      </c>
      <c r="B20" s="37">
        <v>100</v>
      </c>
      <c r="C20" s="37">
        <v>1</v>
      </c>
      <c r="D20" s="38">
        <v>80.100906372070313</v>
      </c>
      <c r="E20" s="38">
        <v>1008.2150268554688</v>
      </c>
      <c r="F20" s="38">
        <v>5.3001849135215817</v>
      </c>
      <c r="G20" s="38">
        <v>5.2569983056369596</v>
      </c>
      <c r="H20" s="38">
        <v>5.3381953239440918</v>
      </c>
      <c r="I20" s="38">
        <v>9.1400852203369141</v>
      </c>
      <c r="M20">
        <f t="shared" si="1"/>
        <v>80.099999999999994</v>
      </c>
      <c r="N20">
        <f t="shared" si="0"/>
        <v>5.3002000000000002</v>
      </c>
      <c r="P20" s="64" t="s">
        <v>206</v>
      </c>
      <c r="Q20" s="65"/>
      <c r="R20" s="65"/>
      <c r="S20" s="65"/>
      <c r="T20" s="65"/>
      <c r="U20" s="66"/>
    </row>
    <row r="21" spans="1:24" x14ac:dyDescent="0.3">
      <c r="A21" s="37">
        <v>80</v>
      </c>
      <c r="B21" s="37">
        <v>100</v>
      </c>
      <c r="C21" s="37">
        <v>1</v>
      </c>
      <c r="D21" s="38">
        <v>80.100761413574219</v>
      </c>
      <c r="E21" s="38">
        <v>1007.7369995117188</v>
      </c>
      <c r="F21" s="38">
        <v>5.2970411482868647</v>
      </c>
      <c r="G21" s="38">
        <v>5.2563719954227377</v>
      </c>
      <c r="H21" s="38">
        <v>5.3356938362121582</v>
      </c>
      <c r="I21" s="38">
        <v>9.1300859451293945</v>
      </c>
      <c r="M21">
        <f t="shared" si="1"/>
        <v>80.099999999999994</v>
      </c>
      <c r="N21">
        <f t="shared" si="0"/>
        <v>5.2969999999999997</v>
      </c>
      <c r="P21" s="67" t="s">
        <v>207</v>
      </c>
      <c r="Q21" s="68"/>
      <c r="R21" s="69" t="s">
        <v>208</v>
      </c>
      <c r="S21" s="68"/>
      <c r="T21" s="50" t="s">
        <v>209</v>
      </c>
      <c r="U21" s="70" t="s">
        <v>63</v>
      </c>
    </row>
    <row r="22" spans="1:24" x14ac:dyDescent="0.3">
      <c r="A22" s="37">
        <v>80</v>
      </c>
      <c r="B22" s="37">
        <v>350</v>
      </c>
      <c r="C22" s="37">
        <v>1</v>
      </c>
      <c r="D22" s="38">
        <v>79.800338745117188</v>
      </c>
      <c r="E22" s="38">
        <v>1008.2449951171875</v>
      </c>
      <c r="F22" s="38">
        <v>18.497443905428351</v>
      </c>
      <c r="G22" s="38">
        <v>18.346179691351473</v>
      </c>
      <c r="H22" s="38">
        <v>5.3167481422424316</v>
      </c>
      <c r="I22" s="38">
        <v>9.1354408264160156</v>
      </c>
      <c r="J22" s="71" t="s">
        <v>210</v>
      </c>
      <c r="M22">
        <f t="shared" si="1"/>
        <v>79.8</v>
      </c>
      <c r="N22">
        <f t="shared" si="0"/>
        <v>18.497399999999999</v>
      </c>
      <c r="P22" s="72">
        <f>C14</f>
        <v>1</v>
      </c>
      <c r="Q22" s="73"/>
      <c r="R22" s="74">
        <f>ROUND(E14/1000,4)</f>
        <v>1.0092000000000001</v>
      </c>
      <c r="S22" s="74"/>
      <c r="T22" s="75">
        <f>ROUND(ABS(((R22-P22)/P22*100)),2)</f>
        <v>0.92</v>
      </c>
      <c r="U22" s="70" t="str">
        <f>IF(AND(T22&gt;10),"Fail", "Pass")</f>
        <v>Pass</v>
      </c>
    </row>
    <row r="23" spans="1:24" x14ac:dyDescent="0.3">
      <c r="A23" s="37">
        <v>100</v>
      </c>
      <c r="B23" s="37">
        <v>10</v>
      </c>
      <c r="C23" s="37">
        <v>1</v>
      </c>
      <c r="D23" s="38">
        <v>101.01091766357422</v>
      </c>
      <c r="E23" s="38">
        <v>1009.7169799804688</v>
      </c>
      <c r="F23" s="38">
        <v>0.94919704534211358</v>
      </c>
      <c r="G23" s="38">
        <v>0.94006251703742083</v>
      </c>
      <c r="H23" s="38">
        <v>6.6159138679504395</v>
      </c>
      <c r="I23" s="38">
        <v>9.1940040588378906</v>
      </c>
      <c r="M23">
        <f t="shared" si="1"/>
        <v>101.01</v>
      </c>
      <c r="N23">
        <f t="shared" si="0"/>
        <v>0.94920000000000004</v>
      </c>
      <c r="P23" s="72">
        <f>C15</f>
        <v>2</v>
      </c>
      <c r="Q23" s="73"/>
      <c r="R23" s="74">
        <f>ROUND(E15/1000,4)</f>
        <v>2.0093999999999999</v>
      </c>
      <c r="S23" s="74"/>
      <c r="T23" s="75">
        <f>ROUND(ABS(((R23-P23)/P23*100)),2)</f>
        <v>0.47</v>
      </c>
      <c r="U23" s="70" t="str">
        <f t="shared" ref="U23:U24" si="4">IF(AND(T23&gt;10),"Fail", "Pass")</f>
        <v>Pass</v>
      </c>
    </row>
    <row r="24" spans="1:24" x14ac:dyDescent="0.3">
      <c r="A24" s="37">
        <v>100</v>
      </c>
      <c r="B24" s="37">
        <v>100</v>
      </c>
      <c r="C24" s="37">
        <v>1</v>
      </c>
      <c r="D24" s="38">
        <v>101.07517242431641</v>
      </c>
      <c r="E24" s="38">
        <v>1008.2440185546875</v>
      </c>
      <c r="F24" s="38">
        <v>9.4794123764104956</v>
      </c>
      <c r="G24" s="38">
        <v>9.4019037013230804</v>
      </c>
      <c r="H24" s="38">
        <v>6.6090168952941895</v>
      </c>
      <c r="I24" s="38">
        <v>9.1570568084716797</v>
      </c>
      <c r="M24">
        <f t="shared" si="1"/>
        <v>101.08</v>
      </c>
      <c r="N24">
        <f t="shared" si="0"/>
        <v>9.4794</v>
      </c>
      <c r="P24" s="72">
        <f>C16</f>
        <v>3</v>
      </c>
      <c r="Q24" s="73"/>
      <c r="R24" s="74">
        <f>ROUND(E16/1000,4)</f>
        <v>3.0081000000000002</v>
      </c>
      <c r="S24" s="74"/>
      <c r="T24" s="75">
        <f>ROUND(ABS(((R24-P24)/P24*100)),2)</f>
        <v>0.27</v>
      </c>
      <c r="U24" s="70" t="str">
        <f t="shared" si="4"/>
        <v>Pass</v>
      </c>
    </row>
    <row r="25" spans="1:24" ht="16.2" thickBot="1" x14ac:dyDescent="0.35">
      <c r="A25" s="37">
        <v>100</v>
      </c>
      <c r="B25" s="37">
        <v>100</v>
      </c>
      <c r="C25" s="37">
        <v>1</v>
      </c>
      <c r="D25" s="38">
        <v>101.1383056640625</v>
      </c>
      <c r="E25" s="38">
        <v>1007.718994140625</v>
      </c>
      <c r="F25" s="38">
        <v>9.4793492550394394</v>
      </c>
      <c r="G25" s="38">
        <v>9.4067381029410413</v>
      </c>
      <c r="H25" s="38">
        <v>6.606837272644043</v>
      </c>
      <c r="I25" s="38">
        <v>9.1373414993286133</v>
      </c>
      <c r="M25">
        <f t="shared" si="1"/>
        <v>101.14</v>
      </c>
      <c r="N25">
        <f t="shared" si="0"/>
        <v>9.4793000000000003</v>
      </c>
      <c r="P25" s="76" t="s">
        <v>211</v>
      </c>
      <c r="Q25" s="77"/>
      <c r="R25" s="77"/>
      <c r="S25" s="77"/>
      <c r="T25" s="77"/>
      <c r="U25" s="78"/>
    </row>
    <row r="26" spans="1:24" ht="16.2" thickBot="1" x14ac:dyDescent="0.35">
      <c r="A26" s="37">
        <v>100</v>
      </c>
      <c r="B26" s="37">
        <v>100</v>
      </c>
      <c r="C26" s="37">
        <v>1</v>
      </c>
      <c r="D26" s="38">
        <v>101.09636688232422</v>
      </c>
      <c r="E26" s="38">
        <v>1007.708984375</v>
      </c>
      <c r="F26" s="38">
        <v>9.473160151114703</v>
      </c>
      <c r="G26" s="38">
        <v>9.400688971548167</v>
      </c>
      <c r="H26" s="38">
        <v>6.605858325958252</v>
      </c>
      <c r="I26" s="38">
        <v>9.1417398452758789</v>
      </c>
      <c r="M26">
        <f t="shared" si="1"/>
        <v>101.1</v>
      </c>
      <c r="N26">
        <f t="shared" si="0"/>
        <v>9.4732000000000003</v>
      </c>
    </row>
    <row r="27" spans="1:24" x14ac:dyDescent="0.3">
      <c r="A27" s="37">
        <v>100</v>
      </c>
      <c r="B27" s="37">
        <v>100</v>
      </c>
      <c r="C27" s="37">
        <v>1</v>
      </c>
      <c r="D27" s="38">
        <v>101.13681793212891</v>
      </c>
      <c r="E27" s="38">
        <v>1007.7379760742188</v>
      </c>
      <c r="F27" s="38">
        <v>9.4782376769966046</v>
      </c>
      <c r="G27" s="38">
        <v>9.4054598505999163</v>
      </c>
      <c r="H27" s="38">
        <v>6.604067325592041</v>
      </c>
      <c r="I27" s="38">
        <v>9.1277132034301758</v>
      </c>
      <c r="M27">
        <f t="shared" si="1"/>
        <v>101.14</v>
      </c>
      <c r="N27">
        <f t="shared" si="0"/>
        <v>9.4781999999999993</v>
      </c>
      <c r="P27" s="79" t="s">
        <v>212</v>
      </c>
      <c r="Q27" s="80"/>
      <c r="R27" s="81"/>
      <c r="S27" s="82" t="s">
        <v>190</v>
      </c>
      <c r="T27" s="82">
        <f>A34</f>
        <v>120</v>
      </c>
      <c r="U27" s="82" t="s">
        <v>213</v>
      </c>
      <c r="V27" s="82"/>
      <c r="W27" s="82"/>
      <c r="X27" s="83">
        <f>C34</f>
        <v>1</v>
      </c>
    </row>
    <row r="28" spans="1:24" x14ac:dyDescent="0.3">
      <c r="A28" s="37">
        <v>100</v>
      </c>
      <c r="B28" s="37">
        <v>100</v>
      </c>
      <c r="C28" s="37">
        <v>1</v>
      </c>
      <c r="D28" s="38">
        <v>101.14177703857422</v>
      </c>
      <c r="E28" s="38">
        <v>1007.2310180664063</v>
      </c>
      <c r="F28" s="38">
        <v>9.4741797217353199</v>
      </c>
      <c r="G28" s="38">
        <v>9.4061630565521828</v>
      </c>
      <c r="H28" s="38">
        <v>6.6096558570861816</v>
      </c>
      <c r="I28" s="38">
        <v>9.1467800140380859</v>
      </c>
      <c r="M28">
        <f t="shared" si="1"/>
        <v>101.14</v>
      </c>
      <c r="N28" s="84">
        <f t="shared" si="0"/>
        <v>9.4741999999999997</v>
      </c>
      <c r="P28" s="47" t="s">
        <v>214</v>
      </c>
      <c r="Q28" s="27" t="s">
        <v>215</v>
      </c>
      <c r="R28" s="27"/>
      <c r="S28" s="27"/>
      <c r="T28" s="50" t="s">
        <v>216</v>
      </c>
      <c r="U28" s="50" t="s">
        <v>217</v>
      </c>
      <c r="V28" s="8"/>
      <c r="W28" s="8"/>
      <c r="X28" s="70" t="s">
        <v>200</v>
      </c>
    </row>
    <row r="29" spans="1:24" x14ac:dyDescent="0.3">
      <c r="A29" s="37">
        <v>100</v>
      </c>
      <c r="B29" s="37">
        <v>350</v>
      </c>
      <c r="C29" s="37">
        <v>1</v>
      </c>
      <c r="D29" s="38">
        <v>101.04947662353516</v>
      </c>
      <c r="E29" s="38">
        <v>1007.7459716796875</v>
      </c>
      <c r="F29" s="38">
        <v>33.100879077426598</v>
      </c>
      <c r="G29" s="38">
        <v>32.846455820603495</v>
      </c>
      <c r="H29" s="38">
        <v>6.5883312225341797</v>
      </c>
      <c r="I29" s="38">
        <v>9.0879783630371094</v>
      </c>
      <c r="J29" s="71" t="s">
        <v>210</v>
      </c>
      <c r="M29">
        <f t="shared" si="1"/>
        <v>101.05</v>
      </c>
      <c r="N29">
        <f t="shared" si="0"/>
        <v>33.100900000000003</v>
      </c>
      <c r="P29" s="85">
        <f>B31</f>
        <v>50</v>
      </c>
      <c r="Q29" s="86">
        <f>N31</f>
        <v>7.2830000000000004</v>
      </c>
      <c r="R29" s="86">
        <f>N32</f>
        <v>7.2817999999999996</v>
      </c>
      <c r="S29" s="86">
        <f>N33</f>
        <v>7.2878999999999996</v>
      </c>
      <c r="T29" s="87">
        <f>ROUND((AVERAGE(Q29:S29)/(P29*X27)),4)</f>
        <v>0.1457</v>
      </c>
      <c r="U29" s="88">
        <f>ROUND((MAX(T29:T32)-MIN(T29:T32))/(MAX(T29:T32)+MIN(T29:T32)),4)</f>
        <v>1.4E-3</v>
      </c>
      <c r="V29" s="89"/>
      <c r="W29" s="8"/>
      <c r="X29" s="90" t="str">
        <f>IF(U29&lt;0.1,"Pass","Fail")</f>
        <v>Pass</v>
      </c>
    </row>
    <row r="30" spans="1:24" x14ac:dyDescent="0.3">
      <c r="A30" s="37">
        <v>120</v>
      </c>
      <c r="B30" s="37">
        <v>10</v>
      </c>
      <c r="C30" s="37">
        <v>1</v>
      </c>
      <c r="D30" s="38">
        <v>120.920051574707</v>
      </c>
      <c r="E30" s="38">
        <v>1010.7210083007813</v>
      </c>
      <c r="F30" s="38">
        <v>1.4566471992512735</v>
      </c>
      <c r="G30" s="38">
        <v>1.4411962209930553</v>
      </c>
      <c r="H30" s="38">
        <v>7.7191543579101563</v>
      </c>
      <c r="I30" s="38">
        <v>9.2275180816650391</v>
      </c>
      <c r="M30">
        <f t="shared" si="1"/>
        <v>120.92</v>
      </c>
      <c r="N30">
        <f t="shared" si="0"/>
        <v>1.4565999999999999</v>
      </c>
      <c r="P30" s="85">
        <f>B34</f>
        <v>100</v>
      </c>
      <c r="Q30" s="86">
        <f>N34</f>
        <v>14.521599999999999</v>
      </c>
      <c r="R30" s="86">
        <f>N35</f>
        <v>14.5259</v>
      </c>
      <c r="S30" s="86">
        <f>N36</f>
        <v>14.532299999999999</v>
      </c>
      <c r="T30" s="87">
        <f>ROUND((AVERAGE(Q30:S30)/(P30*X27)),4)</f>
        <v>0.14530000000000001</v>
      </c>
      <c r="U30" s="88"/>
      <c r="V30" s="89"/>
      <c r="W30" s="8"/>
      <c r="X30" s="90"/>
    </row>
    <row r="31" spans="1:24" x14ac:dyDescent="0.3">
      <c r="A31" s="37">
        <v>120</v>
      </c>
      <c r="B31" s="37">
        <v>50</v>
      </c>
      <c r="C31" s="37">
        <v>1</v>
      </c>
      <c r="D31" s="38">
        <v>120.863983154297</v>
      </c>
      <c r="E31" s="38">
        <v>1008.2349853515625</v>
      </c>
      <c r="F31" s="38">
        <v>7.2829630498192373</v>
      </c>
      <c r="G31" s="38">
        <v>7.2234780893596051</v>
      </c>
      <c r="H31" s="38">
        <v>7.7184734344482422</v>
      </c>
      <c r="I31" s="38">
        <v>9.234339714050293</v>
      </c>
      <c r="M31">
        <f t="shared" si="1"/>
        <v>120.86</v>
      </c>
      <c r="N31">
        <f t="shared" si="0"/>
        <v>7.2830000000000004</v>
      </c>
      <c r="P31" s="85">
        <f>B39</f>
        <v>200</v>
      </c>
      <c r="Q31" s="86">
        <f>N39</f>
        <v>29.085699999999999</v>
      </c>
      <c r="R31" s="86">
        <f>N40</f>
        <v>29.1005</v>
      </c>
      <c r="S31" s="86">
        <f>N41</f>
        <v>29.098600000000001</v>
      </c>
      <c r="T31" s="87">
        <f>ROUND((AVERAGE(Q31:S31)/(P31*X27)),4)</f>
        <v>0.14549999999999999</v>
      </c>
      <c r="U31" s="88"/>
      <c r="V31" s="89"/>
      <c r="W31" s="8"/>
      <c r="X31" s="90"/>
    </row>
    <row r="32" spans="1:24" ht="16.2" thickBot="1" x14ac:dyDescent="0.35">
      <c r="A32" s="37">
        <v>120</v>
      </c>
      <c r="B32" s="37">
        <v>50</v>
      </c>
      <c r="C32" s="37">
        <v>1</v>
      </c>
      <c r="D32" s="38">
        <v>120.841148376465</v>
      </c>
      <c r="E32" s="38">
        <v>1008.2349853515625</v>
      </c>
      <c r="F32" s="38">
        <v>7.2818477272882891</v>
      </c>
      <c r="G32" s="38">
        <v>7.2223720166058412</v>
      </c>
      <c r="H32" s="38">
        <v>7.7171602249145508</v>
      </c>
      <c r="I32" s="38">
        <v>9.2334108352661133</v>
      </c>
      <c r="M32">
        <f t="shared" si="1"/>
        <v>120.84</v>
      </c>
      <c r="N32">
        <f t="shared" si="0"/>
        <v>7.2817999999999996</v>
      </c>
      <c r="P32" s="91">
        <f>B42</f>
        <v>350</v>
      </c>
      <c r="Q32" s="92">
        <f>N42</f>
        <v>50.905500000000004</v>
      </c>
      <c r="R32" s="92">
        <f>N43</f>
        <v>50.876800000000003</v>
      </c>
      <c r="S32" s="92">
        <f>N44</f>
        <v>50.917000000000002</v>
      </c>
      <c r="T32" s="93">
        <f>ROUND((AVERAGE(Q32:S32)/(P32*X27)),4)</f>
        <v>0.1454</v>
      </c>
      <c r="U32" s="94"/>
      <c r="V32" s="95"/>
      <c r="W32" s="35"/>
      <c r="X32" s="96"/>
    </row>
    <row r="33" spans="1:25" ht="16.2" thickBot="1" x14ac:dyDescent="0.35">
      <c r="A33" s="37">
        <v>120</v>
      </c>
      <c r="B33" s="37">
        <v>50</v>
      </c>
      <c r="C33" s="37">
        <v>1</v>
      </c>
      <c r="D33" s="38">
        <v>120.93138122558599</v>
      </c>
      <c r="E33" s="38">
        <v>1007.7150268554688</v>
      </c>
      <c r="F33" s="38">
        <v>7.2878875866153594</v>
      </c>
      <c r="G33" s="38">
        <v>7.2320920836671272</v>
      </c>
      <c r="H33" s="38">
        <v>7.716036319732666</v>
      </c>
      <c r="I33" s="38">
        <v>9.214508056640625</v>
      </c>
      <c r="M33">
        <f t="shared" si="1"/>
        <v>120.93</v>
      </c>
      <c r="N33">
        <f t="shared" si="0"/>
        <v>7.2878999999999996</v>
      </c>
      <c r="P33" s="97" t="s">
        <v>218</v>
      </c>
      <c r="Q33" s="98"/>
      <c r="R33" s="98"/>
      <c r="S33" s="98"/>
      <c r="T33" s="98"/>
      <c r="U33" s="98"/>
      <c r="V33" s="98"/>
      <c r="W33" s="98"/>
      <c r="X33" s="99"/>
    </row>
    <row r="34" spans="1:25" ht="16.2" thickBot="1" x14ac:dyDescent="0.35">
      <c r="A34" s="37">
        <v>120</v>
      </c>
      <c r="B34" s="37">
        <v>100</v>
      </c>
      <c r="C34" s="37">
        <v>1</v>
      </c>
      <c r="D34" s="38">
        <v>120.926467895508</v>
      </c>
      <c r="E34" s="38">
        <v>1007.2459716796875</v>
      </c>
      <c r="F34" s="38">
        <v>14.521575312568471</v>
      </c>
      <c r="G34" s="38">
        <v>14.417109488047878</v>
      </c>
      <c r="H34" s="38">
        <v>7.7138433456420898</v>
      </c>
      <c r="I34" s="38">
        <v>9.207493782043457</v>
      </c>
      <c r="M34">
        <f t="shared" si="1"/>
        <v>120.93</v>
      </c>
      <c r="N34">
        <f t="shared" si="0"/>
        <v>14.521599999999999</v>
      </c>
    </row>
    <row r="35" spans="1:25" x14ac:dyDescent="0.3">
      <c r="A35" s="37">
        <v>120</v>
      </c>
      <c r="B35" s="37">
        <v>100</v>
      </c>
      <c r="C35" s="37">
        <v>1</v>
      </c>
      <c r="D35" s="38">
        <v>121.007217407227</v>
      </c>
      <c r="E35" s="38">
        <v>1007.2130126953125</v>
      </c>
      <c r="F35" s="38">
        <v>14.525865426092793</v>
      </c>
      <c r="G35" s="38">
        <v>14.421840247584127</v>
      </c>
      <c r="H35" s="38">
        <v>7.7140040397644043</v>
      </c>
      <c r="I35" s="38">
        <v>9.1947765350341797</v>
      </c>
      <c r="M35">
        <f t="shared" si="1"/>
        <v>121.01</v>
      </c>
      <c r="N35">
        <f t="shared" si="0"/>
        <v>14.5259</v>
      </c>
      <c r="P35" s="64" t="s">
        <v>219</v>
      </c>
      <c r="Q35" s="65"/>
      <c r="R35" s="65"/>
      <c r="S35" s="65"/>
      <c r="T35" s="65"/>
      <c r="U35" s="65"/>
      <c r="V35" s="100"/>
      <c r="W35" s="100"/>
      <c r="X35" s="100"/>
      <c r="Y35" s="66"/>
    </row>
    <row r="36" spans="1:25" ht="16.2" thickBot="1" x14ac:dyDescent="0.35">
      <c r="A36" s="37">
        <v>120</v>
      </c>
      <c r="B36" s="37">
        <v>100</v>
      </c>
      <c r="C36" s="37">
        <v>1</v>
      </c>
      <c r="D36" s="38">
        <v>121.04571533203099</v>
      </c>
      <c r="E36" s="38">
        <v>1008.2169799804688</v>
      </c>
      <c r="F36" s="38">
        <v>14.532316644185473</v>
      </c>
      <c r="G36" s="38">
        <v>14.413877638188016</v>
      </c>
      <c r="H36" s="38">
        <v>7.7114577293395996</v>
      </c>
      <c r="I36" s="38">
        <v>9.1793909072875977</v>
      </c>
      <c r="M36">
        <f t="shared" si="1"/>
        <v>121.05</v>
      </c>
      <c r="N36">
        <f t="shared" si="0"/>
        <v>14.532299999999999</v>
      </c>
      <c r="P36" s="101" t="s">
        <v>93</v>
      </c>
      <c r="Q36" s="102" t="s">
        <v>215</v>
      </c>
      <c r="R36" s="102"/>
      <c r="S36" s="102"/>
      <c r="T36" s="102"/>
      <c r="U36" s="103"/>
      <c r="V36" s="95" t="s">
        <v>220</v>
      </c>
      <c r="W36" s="95" t="s">
        <v>221</v>
      </c>
      <c r="X36" s="32" t="s">
        <v>104</v>
      </c>
      <c r="Y36" s="104" t="s">
        <v>200</v>
      </c>
    </row>
    <row r="37" spans="1:25" ht="16.2" thickBot="1" x14ac:dyDescent="0.35">
      <c r="A37" s="37">
        <v>120</v>
      </c>
      <c r="B37" s="37">
        <v>100</v>
      </c>
      <c r="C37" s="37">
        <v>1</v>
      </c>
      <c r="D37" s="38">
        <v>121.06346130371099</v>
      </c>
      <c r="E37" s="38">
        <v>1007.7479858398438</v>
      </c>
      <c r="F37" s="38">
        <v>14.526018415178571</v>
      </c>
      <c r="G37" s="38">
        <v>14.41433455489234</v>
      </c>
      <c r="H37" s="38">
        <v>7.7135024070739746</v>
      </c>
      <c r="I37" s="38">
        <v>9.1837491989135742</v>
      </c>
      <c r="M37">
        <f t="shared" si="1"/>
        <v>121.06</v>
      </c>
      <c r="N37">
        <f t="shared" si="0"/>
        <v>14.526</v>
      </c>
      <c r="P37" s="105">
        <f>A18</f>
        <v>80</v>
      </c>
      <c r="Q37" s="106">
        <f>N17</f>
        <v>5.2957999999999998</v>
      </c>
      <c r="R37" s="106">
        <f>N18</f>
        <v>5.2999000000000001</v>
      </c>
      <c r="S37" s="106">
        <f>N19</f>
        <v>5.3005000000000004</v>
      </c>
      <c r="T37" s="106">
        <f>N20</f>
        <v>5.3002000000000002</v>
      </c>
      <c r="U37" s="107">
        <f>N21</f>
        <v>5.2969999999999997</v>
      </c>
      <c r="V37" s="108">
        <f>ROUND(AVERAGE(Q37:U37),4)</f>
        <v>5.2987000000000002</v>
      </c>
      <c r="W37" s="109">
        <f>ROUND(IF(V37&lt;&gt;"",STDEV(Q37:U37),""),4)</f>
        <v>2.0999999999999999E-3</v>
      </c>
      <c r="X37" s="108">
        <f>ROUND(IF(W37&lt;&gt;"",PRODUCT(W37,POWER(V37,-1)),""),4)</f>
        <v>4.0000000000000002E-4</v>
      </c>
      <c r="Y37" s="110" t="str">
        <f>IF(X37&lt;0.05,"Pass","Fail")</f>
        <v>Pass</v>
      </c>
    </row>
    <row r="38" spans="1:25" ht="16.2" thickBot="1" x14ac:dyDescent="0.35">
      <c r="A38" s="37">
        <v>120</v>
      </c>
      <c r="B38" s="37">
        <v>100</v>
      </c>
      <c r="C38" s="37">
        <v>1</v>
      </c>
      <c r="D38" s="38">
        <v>121.10099029541</v>
      </c>
      <c r="E38" s="38">
        <v>1007.2310180664063</v>
      </c>
      <c r="F38" s="38">
        <v>14.529267561007341</v>
      </c>
      <c r="G38" s="38">
        <v>14.42496176877636</v>
      </c>
      <c r="H38" s="38">
        <v>7.7166938781738281</v>
      </c>
      <c r="I38" s="38">
        <v>9.1889448165893555</v>
      </c>
      <c r="M38">
        <f t="shared" si="1"/>
        <v>121.1</v>
      </c>
      <c r="N38">
        <f t="shared" si="0"/>
        <v>14.529299999999999</v>
      </c>
      <c r="P38" s="47">
        <f>A26</f>
        <v>100</v>
      </c>
      <c r="Q38" s="111">
        <f>N24</f>
        <v>9.4794</v>
      </c>
      <c r="R38" s="111">
        <f>N25</f>
        <v>9.4793000000000003</v>
      </c>
      <c r="S38" s="111">
        <f>N26</f>
        <v>9.4732000000000003</v>
      </c>
      <c r="T38" s="111">
        <f>N27</f>
        <v>9.4781999999999993</v>
      </c>
      <c r="U38" s="112">
        <f>N28</f>
        <v>9.4741999999999997</v>
      </c>
      <c r="V38" s="113">
        <f t="shared" ref="V38:V40" si="5">ROUND(AVERAGE(Q38:U38),4)</f>
        <v>9.4769000000000005</v>
      </c>
      <c r="W38" s="114">
        <f t="shared" ref="W38:W40" si="6">ROUND(IF(V38&lt;&gt;"",STDEV(Q38:U38),""),4)</f>
        <v>2.8999999999999998E-3</v>
      </c>
      <c r="X38" s="108">
        <f t="shared" ref="X38:X40" si="7">ROUND(IF(W38&lt;&gt;"",PRODUCT(W38,POWER(V38,-1)),""),4)</f>
        <v>2.9999999999999997E-4</v>
      </c>
      <c r="Y38" s="110" t="str">
        <f t="shared" ref="Y38:Y40" si="8">IF(X38&lt;0.05,"Pass","Fail")</f>
        <v>Pass</v>
      </c>
    </row>
    <row r="39" spans="1:25" ht="16.2" thickBot="1" x14ac:dyDescent="0.35">
      <c r="A39" s="37">
        <v>120</v>
      </c>
      <c r="B39" s="37">
        <v>200</v>
      </c>
      <c r="C39" s="37">
        <v>1</v>
      </c>
      <c r="D39" s="38">
        <v>121.024909973145</v>
      </c>
      <c r="E39" s="38">
        <v>1007.708984375</v>
      </c>
      <c r="F39" s="38">
        <v>29.085711546888696</v>
      </c>
      <c r="G39" s="38">
        <v>28.863205326045772</v>
      </c>
      <c r="H39" s="38">
        <v>7.7075557708740234</v>
      </c>
      <c r="I39" s="38">
        <v>9.1689281463623047</v>
      </c>
      <c r="M39">
        <f t="shared" si="1"/>
        <v>121.02</v>
      </c>
      <c r="N39">
        <f t="shared" si="0"/>
        <v>29.085699999999999</v>
      </c>
      <c r="P39" s="47">
        <f>A37</f>
        <v>120</v>
      </c>
      <c r="Q39" s="111">
        <f>N34</f>
        <v>14.521599999999999</v>
      </c>
      <c r="R39" s="111">
        <f>N35</f>
        <v>14.5259</v>
      </c>
      <c r="S39" s="111">
        <f>N36</f>
        <v>14.532299999999999</v>
      </c>
      <c r="T39" s="111">
        <f>N37</f>
        <v>14.526</v>
      </c>
      <c r="U39" s="112">
        <f>N38</f>
        <v>14.529299999999999</v>
      </c>
      <c r="V39" s="113">
        <f t="shared" si="5"/>
        <v>14.526999999999999</v>
      </c>
      <c r="W39" s="114">
        <f t="shared" si="6"/>
        <v>4.0000000000000001E-3</v>
      </c>
      <c r="X39" s="108">
        <f t="shared" si="7"/>
        <v>2.9999999999999997E-4</v>
      </c>
      <c r="Y39" s="110" t="str">
        <f t="shared" si="8"/>
        <v>Pass</v>
      </c>
    </row>
    <row r="40" spans="1:25" ht="16.2" thickBot="1" x14ac:dyDescent="0.35">
      <c r="A40" s="37">
        <v>120</v>
      </c>
      <c r="B40" s="37">
        <v>200</v>
      </c>
      <c r="C40" s="37">
        <v>1</v>
      </c>
      <c r="D40" s="38">
        <v>121.20184326171901</v>
      </c>
      <c r="E40" s="38">
        <v>1007.7479858398438</v>
      </c>
      <c r="F40" s="38">
        <v>29.100488366838299</v>
      </c>
      <c r="G40" s="38">
        <v>28.876750120251558</v>
      </c>
      <c r="H40" s="38">
        <v>7.7061457633972168</v>
      </c>
      <c r="I40" s="38">
        <v>9.1349763870239258</v>
      </c>
      <c r="M40">
        <f t="shared" si="1"/>
        <v>121.2</v>
      </c>
      <c r="N40">
        <f t="shared" si="0"/>
        <v>29.1005</v>
      </c>
      <c r="P40" s="52">
        <f>A49</f>
        <v>140</v>
      </c>
      <c r="Q40" s="115">
        <f>N46</f>
        <v>20.186800000000002</v>
      </c>
      <c r="R40" s="115">
        <f>N47</f>
        <v>20.193899999999999</v>
      </c>
      <c r="S40" s="115">
        <f>N48</f>
        <v>20.188400000000001</v>
      </c>
      <c r="T40" s="115">
        <f>N49</f>
        <v>20.187999999999999</v>
      </c>
      <c r="U40" s="116">
        <f>N50</f>
        <v>20.197600000000001</v>
      </c>
      <c r="V40" s="117">
        <f t="shared" si="5"/>
        <v>20.190899999999999</v>
      </c>
      <c r="W40" s="118">
        <f t="shared" si="6"/>
        <v>4.5999999999999999E-3</v>
      </c>
      <c r="X40" s="108">
        <f t="shared" si="7"/>
        <v>2.0000000000000001E-4</v>
      </c>
      <c r="Y40" s="110" t="str">
        <f t="shared" si="8"/>
        <v>Pass</v>
      </c>
    </row>
    <row r="41" spans="1:25" ht="16.2" thickBot="1" x14ac:dyDescent="0.35">
      <c r="A41" s="37">
        <v>120</v>
      </c>
      <c r="B41" s="37">
        <v>200</v>
      </c>
      <c r="C41" s="37">
        <v>1</v>
      </c>
      <c r="D41" s="38">
        <v>121.221961975098</v>
      </c>
      <c r="E41" s="38">
        <v>1007.719970703125</v>
      </c>
      <c r="F41" s="38">
        <v>29.098643938978967</v>
      </c>
      <c r="G41" s="38">
        <v>28.875722614882321</v>
      </c>
      <c r="H41" s="38">
        <v>7.7104229927062988</v>
      </c>
      <c r="I41" s="38">
        <v>9.1468400955200195</v>
      </c>
      <c r="M41">
        <f t="shared" si="1"/>
        <v>121.22</v>
      </c>
      <c r="N41">
        <f t="shared" si="0"/>
        <v>29.098600000000001</v>
      </c>
      <c r="P41" s="97" t="s">
        <v>222</v>
      </c>
      <c r="Q41" s="98"/>
      <c r="R41" s="98"/>
      <c r="S41" s="98"/>
      <c r="T41" s="98"/>
      <c r="U41" s="98"/>
      <c r="V41" s="98"/>
      <c r="W41" s="98"/>
      <c r="X41" s="98"/>
      <c r="Y41" s="99"/>
    </row>
    <row r="42" spans="1:25" ht="16.2" thickBot="1" x14ac:dyDescent="0.35">
      <c r="A42" s="37">
        <v>120</v>
      </c>
      <c r="B42" s="37">
        <v>350</v>
      </c>
      <c r="C42" s="37">
        <v>1</v>
      </c>
      <c r="D42" s="38">
        <v>121.31259155273401</v>
      </c>
      <c r="E42" s="38">
        <v>1007.7319946289063</v>
      </c>
      <c r="F42" s="38">
        <v>50.905511372973272</v>
      </c>
      <c r="G42" s="38">
        <v>50.514927740651473</v>
      </c>
      <c r="H42" s="38">
        <v>7.6990723609924316</v>
      </c>
      <c r="I42" s="38">
        <v>9.0919656753540039</v>
      </c>
      <c r="J42" s="71" t="s">
        <v>210</v>
      </c>
      <c r="M42">
        <f t="shared" si="1"/>
        <v>121.31</v>
      </c>
      <c r="N42">
        <f t="shared" si="0"/>
        <v>50.905500000000004</v>
      </c>
    </row>
    <row r="43" spans="1:25" ht="16.2" thickBot="1" x14ac:dyDescent="0.35">
      <c r="A43" s="37">
        <v>120</v>
      </c>
      <c r="B43" s="37">
        <v>350</v>
      </c>
      <c r="C43" s="37">
        <v>1</v>
      </c>
      <c r="D43" s="38">
        <v>121.38840484619099</v>
      </c>
      <c r="E43" s="38">
        <v>1007.2109985351563</v>
      </c>
      <c r="F43" s="38">
        <v>50.876809336656443</v>
      </c>
      <c r="G43" s="38">
        <v>50.51256514696081</v>
      </c>
      <c r="H43" s="38">
        <v>7.7000017166137695</v>
      </c>
      <c r="I43" s="38">
        <v>9.0829200744628906</v>
      </c>
      <c r="M43">
        <f t="shared" si="1"/>
        <v>121.39</v>
      </c>
      <c r="N43">
        <f t="shared" si="0"/>
        <v>50.876800000000003</v>
      </c>
      <c r="P43" s="119" t="s">
        <v>223</v>
      </c>
      <c r="Q43" s="120"/>
      <c r="R43" s="121" t="s">
        <v>195</v>
      </c>
      <c r="S43" s="122" t="s">
        <v>200</v>
      </c>
    </row>
    <row r="44" spans="1:25" ht="16.2" thickBot="1" x14ac:dyDescent="0.35">
      <c r="A44" s="37">
        <v>120</v>
      </c>
      <c r="B44" s="37">
        <v>350</v>
      </c>
      <c r="C44" s="37">
        <v>1</v>
      </c>
      <c r="D44" s="38">
        <v>121.382972717285</v>
      </c>
      <c r="E44" s="38">
        <v>1007.7130126953125</v>
      </c>
      <c r="F44" s="38">
        <v>50.917005881627958</v>
      </c>
      <c r="G44" s="38">
        <v>50.527289009149953</v>
      </c>
      <c r="H44" s="38">
        <v>7.6991653442382813</v>
      </c>
      <c r="I44" s="38">
        <v>9.0808610916137695</v>
      </c>
      <c r="M44">
        <f t="shared" si="1"/>
        <v>121.38</v>
      </c>
      <c r="N44">
        <f t="shared" si="0"/>
        <v>50.917000000000002</v>
      </c>
      <c r="P44" s="123" t="s">
        <v>190</v>
      </c>
      <c r="Q44" s="124">
        <f>A46</f>
        <v>140</v>
      </c>
      <c r="R44" s="125">
        <f>ROUND(I46,2)</f>
        <v>9.39</v>
      </c>
      <c r="S44" s="126" t="str">
        <f>IF(AND(Q44&lt;=70,R44&gt;=1.5),"Pass",IF(AND(Q44&lt;=100,R44&gt;=2),"Pass",IF(AND(Q44&gt;100,R44&gt;=2.5),"Pass","Fail")))</f>
        <v>Pass</v>
      </c>
    </row>
    <row r="45" spans="1:25" x14ac:dyDescent="0.3">
      <c r="A45" s="37">
        <v>140</v>
      </c>
      <c r="B45" s="37">
        <v>10</v>
      </c>
      <c r="C45" s="37">
        <v>1</v>
      </c>
      <c r="D45" s="38">
        <v>141.648361206055</v>
      </c>
      <c r="E45" s="38">
        <v>1011.7529907226563</v>
      </c>
      <c r="F45" s="38">
        <v>2.0245690308152113</v>
      </c>
      <c r="G45" s="38">
        <v>2.0010506866481825</v>
      </c>
      <c r="H45" s="38">
        <v>8.6313028335571289</v>
      </c>
      <c r="I45" s="38">
        <v>9.3963460922241211</v>
      </c>
      <c r="M45">
        <f t="shared" si="1"/>
        <v>141.65</v>
      </c>
      <c r="N45">
        <f t="shared" si="0"/>
        <v>2.0246</v>
      </c>
      <c r="P45" s="127" t="s">
        <v>224</v>
      </c>
      <c r="Q45" s="128"/>
      <c r="R45" s="128"/>
      <c r="S45" s="129"/>
    </row>
    <row r="46" spans="1:25" x14ac:dyDescent="0.3">
      <c r="A46" s="37">
        <v>140</v>
      </c>
      <c r="B46" s="37">
        <v>100</v>
      </c>
      <c r="C46" s="37">
        <v>1</v>
      </c>
      <c r="D46" s="38">
        <v>141.58995056152301</v>
      </c>
      <c r="E46" s="38">
        <v>1007.7150268554688</v>
      </c>
      <c r="F46" s="38">
        <v>20.186772927393733</v>
      </c>
      <c r="G46" s="38">
        <v>20.032224618932357</v>
      </c>
      <c r="H46" s="38">
        <v>8.628443717956543</v>
      </c>
      <c r="I46" s="38">
        <v>9.3948917388916016</v>
      </c>
      <c r="M46">
        <f t="shared" si="1"/>
        <v>141.59</v>
      </c>
      <c r="N46">
        <f t="shared" si="0"/>
        <v>20.186800000000002</v>
      </c>
      <c r="P46" s="127"/>
      <c r="Q46" s="128"/>
      <c r="R46" s="128"/>
      <c r="S46" s="129"/>
    </row>
    <row r="47" spans="1:25" ht="16.2" thickBot="1" x14ac:dyDescent="0.35">
      <c r="A47" s="37">
        <v>140</v>
      </c>
      <c r="B47" s="37">
        <v>100</v>
      </c>
      <c r="C47" s="37">
        <v>1</v>
      </c>
      <c r="D47" s="38">
        <v>141.63255310058599</v>
      </c>
      <c r="E47" s="38">
        <v>1008.2260131835938</v>
      </c>
      <c r="F47" s="38">
        <v>20.19393880778922</v>
      </c>
      <c r="G47" s="38">
        <v>20.02917999347817</v>
      </c>
      <c r="H47" s="38">
        <v>8.6284246444702148</v>
      </c>
      <c r="I47" s="38">
        <v>9.3881053924560547</v>
      </c>
      <c r="M47">
        <f t="shared" si="1"/>
        <v>141.63</v>
      </c>
      <c r="N47">
        <f t="shared" si="0"/>
        <v>20.193899999999999</v>
      </c>
      <c r="P47" s="130"/>
      <c r="Q47" s="131"/>
      <c r="R47" s="131"/>
      <c r="S47" s="132"/>
    </row>
    <row r="48" spans="1:25" x14ac:dyDescent="0.3">
      <c r="A48" s="37">
        <v>140</v>
      </c>
      <c r="B48" s="37">
        <v>100</v>
      </c>
      <c r="C48" s="37">
        <v>1</v>
      </c>
      <c r="D48" s="38">
        <v>141.65559387207</v>
      </c>
      <c r="E48" s="38">
        <v>1007.7379760742188</v>
      </c>
      <c r="F48" s="38">
        <v>20.188354171231378</v>
      </c>
      <c r="G48" s="38">
        <v>20.033336821056547</v>
      </c>
      <c r="H48" s="38">
        <v>8.6275720596313477</v>
      </c>
      <c r="I48" s="38">
        <v>9.3813076019287109</v>
      </c>
      <c r="M48">
        <f t="shared" si="1"/>
        <v>141.66</v>
      </c>
      <c r="N48">
        <f t="shared" si="0"/>
        <v>20.188400000000001</v>
      </c>
    </row>
    <row r="49" spans="1:14" x14ac:dyDescent="0.3">
      <c r="A49" s="37">
        <v>140</v>
      </c>
      <c r="B49" s="37">
        <v>100</v>
      </c>
      <c r="C49" s="37">
        <v>1</v>
      </c>
      <c r="D49" s="38">
        <v>141.658935546875</v>
      </c>
      <c r="E49" s="38">
        <v>1008.2160034179688</v>
      </c>
      <c r="F49" s="38">
        <v>20.18804391364483</v>
      </c>
      <c r="G49" s="38">
        <v>20.023532057240313</v>
      </c>
      <c r="H49" s="38">
        <v>8.6275978088378906</v>
      </c>
      <c r="I49" s="38">
        <v>9.3808803558349609</v>
      </c>
      <c r="M49">
        <f t="shared" si="1"/>
        <v>141.66</v>
      </c>
      <c r="N49">
        <f t="shared" si="0"/>
        <v>20.187999999999999</v>
      </c>
    </row>
    <row r="50" spans="1:14" x14ac:dyDescent="0.3">
      <c r="A50" s="37">
        <v>140</v>
      </c>
      <c r="B50" s="37">
        <v>100</v>
      </c>
      <c r="C50" s="37">
        <v>1</v>
      </c>
      <c r="D50" s="38">
        <v>141.68133544921901</v>
      </c>
      <c r="E50" s="38">
        <v>1008.2160034179688</v>
      </c>
      <c r="F50" s="38">
        <v>20.197587009065511</v>
      </c>
      <c r="G50" s="38">
        <v>20.032993576312808</v>
      </c>
      <c r="H50" s="38">
        <v>8.629054069519043</v>
      </c>
      <c r="I50" s="38">
        <v>9.382777214050293</v>
      </c>
      <c r="M50">
        <f t="shared" si="1"/>
        <v>141.68</v>
      </c>
      <c r="N50">
        <f t="shared" si="0"/>
        <v>20.197600000000001</v>
      </c>
    </row>
    <row r="51" spans="1:14" x14ac:dyDescent="0.3">
      <c r="A51" s="37">
        <v>140</v>
      </c>
      <c r="B51" s="37">
        <v>280</v>
      </c>
      <c r="C51" s="37">
        <v>1</v>
      </c>
      <c r="D51" s="38">
        <v>141.58903503418</v>
      </c>
      <c r="E51" s="38">
        <v>1007.2210083007813</v>
      </c>
      <c r="F51" s="38">
        <v>56.592802537521912</v>
      </c>
      <c r="G51" s="38">
        <v>56.187078334976626</v>
      </c>
      <c r="H51" s="38">
        <v>8.6159791946411133</v>
      </c>
      <c r="I51" s="38">
        <v>9.3486919403076172</v>
      </c>
      <c r="J51" s="71" t="s">
        <v>210</v>
      </c>
      <c r="M51">
        <f t="shared" si="1"/>
        <v>141.59</v>
      </c>
      <c r="N51">
        <f t="shared" si="0"/>
        <v>56.592799999999997</v>
      </c>
    </row>
    <row r="52" spans="1:14" x14ac:dyDescent="0.3">
      <c r="A52" s="133"/>
      <c r="B52" s="134"/>
      <c r="C52" s="134"/>
      <c r="D52" s="135"/>
      <c r="E52" s="135"/>
      <c r="F52" s="135"/>
      <c r="G52" s="135"/>
      <c r="H52" s="135"/>
      <c r="I52" s="136"/>
      <c r="J52" s="135"/>
    </row>
    <row r="53" spans="1:14" x14ac:dyDescent="0.3">
      <c r="A53" s="133"/>
      <c r="B53" s="134"/>
      <c r="C53" s="134"/>
      <c r="D53" s="135"/>
      <c r="E53" s="135"/>
      <c r="F53" s="135"/>
      <c r="G53" s="135"/>
      <c r="H53" s="135"/>
      <c r="I53" s="136"/>
      <c r="J53" s="135"/>
    </row>
    <row r="54" spans="1:14" x14ac:dyDescent="0.3">
      <c r="A54" s="133"/>
      <c r="B54" s="134"/>
      <c r="C54" s="134"/>
      <c r="D54" s="135"/>
      <c r="E54" s="135"/>
      <c r="F54" s="135"/>
      <c r="G54" s="135"/>
      <c r="H54" s="135"/>
      <c r="I54" s="136"/>
      <c r="J54" s="135"/>
    </row>
    <row r="55" spans="1:14" x14ac:dyDescent="0.3">
      <c r="A55" s="133"/>
      <c r="B55" s="134"/>
      <c r="C55" s="134"/>
      <c r="D55" s="135"/>
      <c r="E55" s="135"/>
      <c r="F55" s="135"/>
      <c r="G55" s="135"/>
      <c r="H55" s="135"/>
      <c r="I55" s="136"/>
      <c r="J55" s="135"/>
    </row>
    <row r="56" spans="1:14" ht="16.2" thickBot="1" x14ac:dyDescent="0.35">
      <c r="A56" s="133"/>
      <c r="B56" s="134"/>
      <c r="C56" s="134"/>
      <c r="D56" s="135"/>
      <c r="E56" s="135"/>
      <c r="F56" s="135"/>
      <c r="G56" s="135"/>
      <c r="H56" s="135"/>
      <c r="I56" s="136"/>
      <c r="J56" s="135"/>
    </row>
    <row r="57" spans="1:14" ht="16.2" thickBot="1" x14ac:dyDescent="0.35">
      <c r="A57" s="137" t="s">
        <v>225</v>
      </c>
      <c r="B57" s="138"/>
      <c r="C57" s="138"/>
      <c r="D57" s="138"/>
      <c r="E57" s="138"/>
      <c r="F57" s="138"/>
      <c r="G57" s="138"/>
      <c r="H57" s="138"/>
      <c r="I57" s="139"/>
      <c r="J57" s="135"/>
    </row>
    <row r="58" spans="1:14" x14ac:dyDescent="0.3">
      <c r="A58" s="140"/>
      <c r="B58" s="141" t="s">
        <v>226</v>
      </c>
      <c r="C58" s="142"/>
      <c r="D58" s="142" t="s">
        <v>227</v>
      </c>
      <c r="E58" s="142"/>
      <c r="F58" s="142"/>
      <c r="G58" s="142" t="s">
        <v>228</v>
      </c>
      <c r="H58" s="142" t="s">
        <v>229</v>
      </c>
      <c r="I58" s="143"/>
    </row>
    <row r="59" spans="1:14" x14ac:dyDescent="0.3">
      <c r="A59" s="144"/>
      <c r="B59" s="145" t="s">
        <v>230</v>
      </c>
      <c r="C59" s="145" t="s">
        <v>231</v>
      </c>
      <c r="D59" s="145" t="s">
        <v>232</v>
      </c>
      <c r="E59" s="145" t="s">
        <v>233</v>
      </c>
      <c r="F59" s="145" t="s">
        <v>234</v>
      </c>
      <c r="G59" s="145" t="s">
        <v>235</v>
      </c>
      <c r="H59" s="146" t="s">
        <v>236</v>
      </c>
      <c r="I59" s="147"/>
    </row>
    <row r="60" spans="1:14" x14ac:dyDescent="0.3">
      <c r="A60" s="144"/>
      <c r="B60" s="3">
        <v>120</v>
      </c>
      <c r="C60" s="3">
        <v>100</v>
      </c>
      <c r="D60" s="3" t="s">
        <v>237</v>
      </c>
      <c r="E60">
        <v>1</v>
      </c>
      <c r="F60" t="s">
        <v>84</v>
      </c>
      <c r="H60" s="148">
        <v>18.12</v>
      </c>
      <c r="I60" s="148"/>
    </row>
    <row r="61" spans="1:14" x14ac:dyDescent="0.3">
      <c r="A61" s="144"/>
      <c r="F61" t="s">
        <v>86</v>
      </c>
      <c r="H61" s="149">
        <v>19.98</v>
      </c>
      <c r="I61" s="149"/>
    </row>
    <row r="62" spans="1:14" x14ac:dyDescent="0.3">
      <c r="A62" s="144"/>
      <c r="F62" t="s">
        <v>89</v>
      </c>
      <c r="H62" s="149">
        <v>18.7</v>
      </c>
      <c r="I62" s="149"/>
      <c r="J62" s="150"/>
      <c r="K62" s="150"/>
    </row>
    <row r="63" spans="1:14" x14ac:dyDescent="0.3">
      <c r="A63" s="144"/>
      <c r="F63" t="s">
        <v>238</v>
      </c>
      <c r="H63" s="149">
        <v>17.62</v>
      </c>
      <c r="I63" s="149"/>
      <c r="J63" s="150"/>
      <c r="K63" s="150"/>
    </row>
    <row r="64" spans="1:14" ht="16.2" thickBot="1" x14ac:dyDescent="0.35">
      <c r="A64" s="144"/>
      <c r="F64" t="s">
        <v>239</v>
      </c>
      <c r="H64" s="151">
        <v>18.79</v>
      </c>
      <c r="I64" s="151"/>
      <c r="J64" s="150"/>
      <c r="K64" s="150"/>
    </row>
    <row r="65" spans="1:19" ht="16.2" thickBot="1" x14ac:dyDescent="0.35">
      <c r="A65" s="144"/>
      <c r="B65" s="152" t="s">
        <v>240</v>
      </c>
      <c r="C65" s="153"/>
      <c r="D65" s="154">
        <v>18.05</v>
      </c>
      <c r="H65" s="155">
        <f>(H60/3)+(2/3*J65)</f>
        <v>18.555</v>
      </c>
      <c r="I65" s="156"/>
      <c r="J65" s="157">
        <f>AVERAGE(H61:I64)</f>
        <v>18.772500000000001</v>
      </c>
      <c r="K65" s="157">
        <f>ABS(H65-D65)/D65*100</f>
        <v>2.7977839335179997</v>
      </c>
    </row>
    <row r="66" spans="1:19" ht="16.2" thickBot="1" x14ac:dyDescent="0.35">
      <c r="A66" s="144"/>
      <c r="G66" s="158" t="s">
        <v>63</v>
      </c>
      <c r="H66" s="159" t="str">
        <f>IF(K65&lt;20,"Pass","Fail")</f>
        <v>Pass</v>
      </c>
      <c r="I66" s="160"/>
      <c r="J66" s="150"/>
      <c r="K66" s="150"/>
      <c r="P66" s="3"/>
      <c r="Q66" s="3"/>
      <c r="R66" s="3"/>
      <c r="S66" s="3"/>
    </row>
    <row r="67" spans="1:19" x14ac:dyDescent="0.3">
      <c r="A67" s="144"/>
      <c r="H67" s="161"/>
      <c r="I67" s="162"/>
      <c r="J67" s="150"/>
      <c r="K67" s="150"/>
      <c r="P67" s="3"/>
      <c r="Q67" s="3"/>
      <c r="R67" s="3"/>
      <c r="S67" s="3"/>
    </row>
    <row r="68" spans="1:19" x14ac:dyDescent="0.3">
      <c r="A68" s="144"/>
      <c r="B68" s="71" t="s">
        <v>226</v>
      </c>
      <c r="D68" t="s">
        <v>241</v>
      </c>
      <c r="G68" t="s">
        <v>228</v>
      </c>
      <c r="H68" t="s">
        <v>242</v>
      </c>
      <c r="I68" s="163"/>
      <c r="J68" s="150"/>
      <c r="K68" s="150"/>
      <c r="P68" s="3"/>
      <c r="Q68" s="3"/>
      <c r="R68" s="3"/>
      <c r="S68" s="161"/>
    </row>
    <row r="69" spans="1:19" x14ac:dyDescent="0.3">
      <c r="A69" s="144"/>
      <c r="B69" s="145" t="s">
        <v>230</v>
      </c>
      <c r="C69" s="145" t="s">
        <v>231</v>
      </c>
      <c r="D69" s="145" t="s">
        <v>232</v>
      </c>
      <c r="E69" s="145" t="s">
        <v>233</v>
      </c>
      <c r="F69" s="145" t="s">
        <v>234</v>
      </c>
      <c r="G69" s="145" t="s">
        <v>235</v>
      </c>
      <c r="H69" s="146" t="s">
        <v>236</v>
      </c>
      <c r="I69" s="147"/>
      <c r="P69" s="164"/>
      <c r="Q69" s="164"/>
      <c r="R69" s="63"/>
      <c r="S69" s="63"/>
    </row>
    <row r="70" spans="1:19" x14ac:dyDescent="0.3">
      <c r="A70" s="144"/>
      <c r="B70" s="3">
        <v>120</v>
      </c>
      <c r="C70" s="3">
        <v>100</v>
      </c>
      <c r="D70" s="3" t="s">
        <v>237</v>
      </c>
      <c r="E70">
        <v>1</v>
      </c>
      <c r="F70" t="s">
        <v>84</v>
      </c>
      <c r="H70" s="165">
        <v>5.5410000000000004</v>
      </c>
      <c r="I70" s="165"/>
      <c r="P70" s="164"/>
      <c r="Q70" s="164"/>
      <c r="R70" s="63"/>
      <c r="S70" s="63"/>
    </row>
    <row r="71" spans="1:19" x14ac:dyDescent="0.3">
      <c r="A71" s="144"/>
      <c r="F71" t="s">
        <v>86</v>
      </c>
      <c r="H71" s="149">
        <v>11.78</v>
      </c>
      <c r="I71" s="149"/>
      <c r="P71" s="164"/>
      <c r="Q71" s="164"/>
      <c r="R71" s="63"/>
      <c r="S71" s="63"/>
    </row>
    <row r="72" spans="1:19" x14ac:dyDescent="0.3">
      <c r="A72" s="144"/>
      <c r="F72" t="s">
        <v>89</v>
      </c>
      <c r="H72" s="149">
        <v>12.39</v>
      </c>
      <c r="I72" s="149"/>
      <c r="P72" s="164"/>
      <c r="Q72" s="164"/>
      <c r="R72" s="63"/>
      <c r="S72" s="63"/>
    </row>
    <row r="73" spans="1:19" x14ac:dyDescent="0.3">
      <c r="A73" s="144"/>
      <c r="F73" t="s">
        <v>238</v>
      </c>
      <c r="H73" s="149">
        <v>11.21</v>
      </c>
      <c r="I73" s="149"/>
      <c r="J73" s="150"/>
      <c r="K73" s="150"/>
      <c r="P73" s="164"/>
      <c r="Q73" s="164"/>
      <c r="R73" s="63"/>
      <c r="S73" s="63"/>
    </row>
    <row r="74" spans="1:19" ht="16.2" thickBot="1" x14ac:dyDescent="0.35">
      <c r="A74" s="144"/>
      <c r="F74" t="s">
        <v>239</v>
      </c>
      <c r="H74" s="151">
        <v>12.75</v>
      </c>
      <c r="I74" s="151"/>
      <c r="J74" s="166">
        <f>AVERAGE(H71:I74)</f>
        <v>12.032500000000001</v>
      </c>
      <c r="K74" s="157">
        <f>ABS(H75-D75)/D75*100</f>
        <v>4.2097852868708063</v>
      </c>
      <c r="P74" s="164"/>
      <c r="Q74" s="164"/>
      <c r="R74" s="63"/>
      <c r="S74" s="63"/>
    </row>
    <row r="75" spans="1:19" ht="16.2" thickBot="1" x14ac:dyDescent="0.35">
      <c r="A75" s="167"/>
      <c r="B75" s="152" t="s">
        <v>240</v>
      </c>
      <c r="C75" s="153"/>
      <c r="D75" s="154">
        <v>9.4700000000000006</v>
      </c>
      <c r="E75" s="168"/>
      <c r="F75" s="168"/>
      <c r="G75" s="168"/>
      <c r="H75" s="169">
        <f>(H70/3)+(2/3*J74)</f>
        <v>9.868666666666666</v>
      </c>
      <c r="I75" s="170"/>
      <c r="J75" s="171"/>
      <c r="K75" s="171"/>
    </row>
    <row r="76" spans="1:19" ht="16.2" thickBot="1" x14ac:dyDescent="0.35">
      <c r="G76" s="172" t="s">
        <v>63</v>
      </c>
      <c r="H76" s="119" t="str">
        <f>IF(K74&lt;20,"Pass","Fail")</f>
        <v>Pass</v>
      </c>
      <c r="I76" s="173"/>
    </row>
    <row r="77" spans="1:19" ht="16.2" thickBot="1" x14ac:dyDescent="0.35">
      <c r="A77" s="174" t="s">
        <v>243</v>
      </c>
      <c r="B77" s="175"/>
      <c r="C77" s="175"/>
      <c r="D77" s="175"/>
      <c r="E77" s="175"/>
      <c r="F77" s="175"/>
      <c r="G77" s="175"/>
      <c r="H77" s="175"/>
      <c r="I77" s="176"/>
    </row>
    <row r="78" spans="1:19" x14ac:dyDescent="0.3">
      <c r="G78" s="18"/>
      <c r="H78" s="177"/>
      <c r="I78" s="177"/>
    </row>
    <row r="79" spans="1:19" ht="16.2" thickBot="1" x14ac:dyDescent="0.35">
      <c r="G79" s="18"/>
      <c r="H79" s="177"/>
      <c r="I79" s="177"/>
    </row>
    <row r="80" spans="1:19" x14ac:dyDescent="0.3">
      <c r="A80" s="119" t="s">
        <v>244</v>
      </c>
      <c r="B80" s="178"/>
      <c r="C80" s="178"/>
      <c r="D80" s="82" t="s">
        <v>245</v>
      </c>
      <c r="E80" s="83" t="s">
        <v>246</v>
      </c>
      <c r="G80" s="150"/>
      <c r="H80" s="150"/>
      <c r="I80" s="150"/>
      <c r="J80" s="150"/>
      <c r="K80" s="150"/>
    </row>
    <row r="81" spans="1:11" ht="16.2" thickBot="1" x14ac:dyDescent="0.35">
      <c r="A81" s="179" t="s">
        <v>65</v>
      </c>
      <c r="B81" s="180" t="s">
        <v>4</v>
      </c>
      <c r="C81" s="181"/>
      <c r="D81" s="182" t="s">
        <v>247</v>
      </c>
      <c r="E81" s="183">
        <f t="array" ref="E81">INDEX($J$82:$J$84,MATCH(E80,$I$82:$I$84,0),0)</f>
        <v>0.5</v>
      </c>
      <c r="G81" s="150"/>
      <c r="H81" s="184"/>
      <c r="I81" s="184"/>
      <c r="J81" s="150"/>
      <c r="K81" s="150"/>
    </row>
    <row r="82" spans="1:11" ht="16.2" thickBot="1" x14ac:dyDescent="0.35">
      <c r="A82" s="185">
        <v>140</v>
      </c>
      <c r="B82" s="186">
        <v>15</v>
      </c>
      <c r="C82" s="186"/>
      <c r="D82" s="187" t="s">
        <v>248</v>
      </c>
      <c r="E82" s="188"/>
      <c r="G82" s="150"/>
      <c r="H82" s="189"/>
      <c r="I82" s="190" t="s">
        <v>249</v>
      </c>
      <c r="J82" s="191">
        <v>0.42</v>
      </c>
      <c r="K82" s="150"/>
    </row>
    <row r="83" spans="1:11" x14ac:dyDescent="0.3">
      <c r="A83" s="85" t="s">
        <v>250</v>
      </c>
      <c r="B83" s="192" t="s">
        <v>251</v>
      </c>
      <c r="C83" s="193"/>
      <c r="D83" s="194"/>
      <c r="E83" s="195" t="s">
        <v>252</v>
      </c>
      <c r="F83" s="196" t="s">
        <v>63</v>
      </c>
      <c r="G83" s="150"/>
      <c r="H83" s="189"/>
      <c r="I83" s="190" t="s">
        <v>246</v>
      </c>
      <c r="J83" s="191">
        <v>0.5</v>
      </c>
      <c r="K83" s="150"/>
    </row>
    <row r="84" spans="1:11" x14ac:dyDescent="0.3">
      <c r="A84" s="85">
        <v>1.25</v>
      </c>
      <c r="B84" s="197">
        <v>2.8</v>
      </c>
      <c r="C84" s="197"/>
      <c r="D84" s="194"/>
      <c r="E84" s="198">
        <f>B84*E81</f>
        <v>1.4</v>
      </c>
      <c r="F84" s="70" t="str">
        <f>IF(E84&lt;(A84+G84),"Pass","Fail")</f>
        <v>Pass</v>
      </c>
      <c r="G84" s="150">
        <f>IF(A84&lt;1,0.5,IF(AND(A84&gt;=1,A84&lt;=2),(A84/2),IF(A84&gt;2,1)))</f>
        <v>0.625</v>
      </c>
      <c r="H84" s="150"/>
      <c r="I84" s="199" t="s">
        <v>253</v>
      </c>
      <c r="J84" s="191">
        <v>0.5</v>
      </c>
      <c r="K84" s="150"/>
    </row>
    <row r="85" spans="1:11" x14ac:dyDescent="0.3">
      <c r="A85" s="85">
        <v>2.5</v>
      </c>
      <c r="B85" s="200">
        <v>5</v>
      </c>
      <c r="C85" s="201"/>
      <c r="D85" s="194"/>
      <c r="E85" s="198">
        <f>B85*E81</f>
        <v>2.5</v>
      </c>
      <c r="F85" s="70" t="str">
        <f t="shared" ref="F85:F86" si="9">IF(E85&lt;(A85+G85),"Pass","Fail")</f>
        <v>Pass</v>
      </c>
      <c r="G85" s="150">
        <f t="shared" ref="G85:G86" si="10">IF(A85&lt;1,0.5,IF(AND(A85&gt;=1,A85&lt;=2),(A85/2),IF(A85&gt;2,1)))</f>
        <v>1</v>
      </c>
      <c r="H85" s="150"/>
      <c r="I85" s="150"/>
      <c r="J85" s="150"/>
      <c r="K85" s="150"/>
    </row>
    <row r="86" spans="1:11" ht="16.2" thickBot="1" x14ac:dyDescent="0.35">
      <c r="A86" s="202">
        <v>5</v>
      </c>
      <c r="B86" s="203">
        <v>9.8000000000000007</v>
      </c>
      <c r="C86" s="203"/>
      <c r="D86" s="204"/>
      <c r="E86" s="205">
        <f>B86*E81</f>
        <v>4.9000000000000004</v>
      </c>
      <c r="F86" s="206" t="str">
        <f t="shared" si="9"/>
        <v>Pass</v>
      </c>
      <c r="G86" s="150">
        <f t="shared" si="10"/>
        <v>1</v>
      </c>
      <c r="H86" s="150"/>
      <c r="I86" s="150"/>
      <c r="J86" s="150"/>
      <c r="K86" s="150"/>
    </row>
    <row r="87" spans="1:11" ht="14.4" customHeight="1" x14ac:dyDescent="0.3">
      <c r="A87" s="207" t="s">
        <v>254</v>
      </c>
      <c r="B87" s="208"/>
      <c r="C87" s="208"/>
      <c r="D87" s="208"/>
      <c r="E87" s="208"/>
      <c r="F87" s="209"/>
      <c r="G87" s="150"/>
      <c r="H87" s="150"/>
      <c r="I87" s="150"/>
      <c r="J87" s="150"/>
      <c r="K87" s="150"/>
    </row>
    <row r="88" spans="1:11" ht="16.2" thickBot="1" x14ac:dyDescent="0.35">
      <c r="A88" s="210"/>
      <c r="B88" s="211"/>
      <c r="C88" s="211"/>
      <c r="D88" s="211"/>
      <c r="E88" s="211"/>
      <c r="F88" s="212"/>
      <c r="G88" s="150"/>
      <c r="H88" s="150"/>
      <c r="I88" s="150"/>
      <c r="J88" s="150"/>
      <c r="K88" s="150"/>
    </row>
    <row r="89" spans="1:11" ht="16.2" thickBot="1" x14ac:dyDescent="0.35"/>
    <row r="90" spans="1:11" ht="16.2" thickBot="1" x14ac:dyDescent="0.35">
      <c r="A90" s="213" t="s">
        <v>65</v>
      </c>
      <c r="B90" s="82" t="s">
        <v>4</v>
      </c>
      <c r="C90" s="178" t="s">
        <v>255</v>
      </c>
      <c r="D90" s="178"/>
      <c r="E90" s="173"/>
    </row>
    <row r="91" spans="1:11" x14ac:dyDescent="0.3">
      <c r="A91" s="214">
        <v>120</v>
      </c>
      <c r="B91" s="37">
        <v>200</v>
      </c>
      <c r="C91" s="215" t="s">
        <v>134</v>
      </c>
      <c r="D91" s="216">
        <v>107</v>
      </c>
      <c r="E91" s="217"/>
      <c r="F91" s="218" t="s">
        <v>63</v>
      </c>
    </row>
    <row r="92" spans="1:11" ht="16.2" thickBot="1" x14ac:dyDescent="0.35">
      <c r="A92" s="219" t="s">
        <v>256</v>
      </c>
      <c r="B92" s="193"/>
      <c r="C92" s="220">
        <v>3</v>
      </c>
      <c r="D92" s="220"/>
      <c r="E92" s="220"/>
      <c r="F92" s="221" t="str">
        <f>IF(C92&lt;=5,"Pass","Fail")</f>
        <v>Pass</v>
      </c>
    </row>
    <row r="93" spans="1:11" ht="16.2" thickBot="1" x14ac:dyDescent="0.35">
      <c r="A93" s="222" t="s">
        <v>257</v>
      </c>
      <c r="B93" s="223"/>
      <c r="C93" s="223"/>
      <c r="D93" s="223"/>
      <c r="E93" s="224"/>
    </row>
    <row r="94" spans="1:11" ht="16.2" thickBot="1" x14ac:dyDescent="0.35">
      <c r="A94" s="225"/>
      <c r="B94" s="226"/>
      <c r="C94" s="227"/>
      <c r="D94" s="227"/>
      <c r="E94" s="228"/>
    </row>
    <row r="95" spans="1:11" ht="16.2" thickBot="1" x14ac:dyDescent="0.35">
      <c r="A95" s="213" t="s">
        <v>65</v>
      </c>
      <c r="B95" s="229" t="s">
        <v>4</v>
      </c>
      <c r="C95" s="159" t="s">
        <v>258</v>
      </c>
      <c r="D95" s="230"/>
      <c r="E95" s="160"/>
    </row>
    <row r="96" spans="1:11" x14ac:dyDescent="0.3">
      <c r="A96" s="214">
        <v>140</v>
      </c>
      <c r="B96" s="37">
        <v>65</v>
      </c>
      <c r="C96" s="231" t="s">
        <v>134</v>
      </c>
      <c r="D96" s="232">
        <v>3691</v>
      </c>
      <c r="E96" s="233"/>
      <c r="F96" s="218" t="s">
        <v>63</v>
      </c>
    </row>
    <row r="97" spans="1:12" ht="16.2" thickBot="1" x14ac:dyDescent="0.35">
      <c r="A97" s="234" t="s">
        <v>256</v>
      </c>
      <c r="B97" s="235"/>
      <c r="C97" s="236">
        <v>6.25</v>
      </c>
      <c r="D97" s="236"/>
      <c r="E97" s="236"/>
      <c r="F97" s="221" t="str">
        <f>IF(C97&gt;=3.12,"Pass","Fail")</f>
        <v>Pass</v>
      </c>
    </row>
    <row r="98" spans="1:12" x14ac:dyDescent="0.3">
      <c r="A98" s="237" t="s">
        <v>259</v>
      </c>
      <c r="B98" s="238"/>
      <c r="C98" s="238"/>
      <c r="D98" s="238"/>
      <c r="E98" s="239"/>
    </row>
    <row r="99" spans="1:12" ht="16.2" thickBot="1" x14ac:dyDescent="0.35">
      <c r="A99" s="240"/>
      <c r="B99" s="241"/>
      <c r="C99" s="241"/>
      <c r="D99" s="241"/>
      <c r="E99" s="242"/>
    </row>
    <row r="100" spans="1:12" ht="16.2" thickBot="1" x14ac:dyDescent="0.35">
      <c r="A100" s="243"/>
      <c r="B100" s="243"/>
      <c r="C100" s="243"/>
      <c r="D100" s="243"/>
      <c r="E100" s="243"/>
    </row>
    <row r="101" spans="1:12" ht="16.2" thickBot="1" x14ac:dyDescent="0.35">
      <c r="A101" s="159" t="s">
        <v>260</v>
      </c>
      <c r="B101" s="230"/>
      <c r="C101" s="230"/>
      <c r="D101" s="230"/>
      <c r="E101" s="230"/>
      <c r="F101" s="230"/>
      <c r="G101" s="230"/>
      <c r="H101" s="230"/>
      <c r="I101" s="230"/>
      <c r="J101" s="160"/>
    </row>
    <row r="102" spans="1:12" ht="16.2" thickBot="1" x14ac:dyDescent="0.35">
      <c r="A102" s="244" t="s">
        <v>190</v>
      </c>
      <c r="B102" s="245" t="s">
        <v>261</v>
      </c>
      <c r="C102" s="126" t="s">
        <v>262</v>
      </c>
      <c r="D102" s="142"/>
      <c r="E102" s="244" t="s">
        <v>111</v>
      </c>
      <c r="F102" s="245">
        <v>500</v>
      </c>
      <c r="G102" s="246" t="s">
        <v>263</v>
      </c>
      <c r="H102" s="247"/>
      <c r="I102" s="248"/>
      <c r="J102" s="249"/>
    </row>
    <row r="103" spans="1:12" ht="16.2" thickBot="1" x14ac:dyDescent="0.35">
      <c r="A103" s="250">
        <v>140</v>
      </c>
      <c r="B103" s="251">
        <v>100</v>
      </c>
      <c r="C103" s="252">
        <v>1</v>
      </c>
      <c r="D103" s="253"/>
      <c r="E103" s="5"/>
      <c r="F103" s="5"/>
      <c r="G103" s="254" t="s">
        <v>264</v>
      </c>
      <c r="H103" s="255"/>
      <c r="I103" s="256" t="s">
        <v>265</v>
      </c>
      <c r="J103" s="257"/>
      <c r="K103" s="258" t="s">
        <v>63</v>
      </c>
      <c r="L103" s="259"/>
    </row>
    <row r="104" spans="1:12" ht="16.2" thickBot="1" x14ac:dyDescent="0.35">
      <c r="A104" s="260" t="s">
        <v>124</v>
      </c>
      <c r="B104" s="261" t="s">
        <v>266</v>
      </c>
      <c r="C104" s="262" t="s">
        <v>267</v>
      </c>
      <c r="D104" s="262" t="s">
        <v>268</v>
      </c>
      <c r="E104" s="263" t="s">
        <v>269</v>
      </c>
      <c r="F104" s="262" t="s">
        <v>270</v>
      </c>
      <c r="G104" s="240"/>
      <c r="H104" s="242"/>
      <c r="I104" s="130"/>
      <c r="J104" s="132"/>
      <c r="K104" s="264"/>
      <c r="L104" s="265"/>
    </row>
    <row r="105" spans="1:12" ht="16.2" thickBot="1" x14ac:dyDescent="0.35">
      <c r="A105" s="266"/>
      <c r="B105" s="267"/>
      <c r="C105" s="268"/>
      <c r="D105" s="268"/>
      <c r="E105" s="269"/>
      <c r="F105" s="270" t="s">
        <v>159</v>
      </c>
      <c r="G105" s="271">
        <f>ROUND(F102*MAX(B105:E105)/(60*B103),3)</f>
        <v>0</v>
      </c>
      <c r="H105" s="272"/>
      <c r="I105" s="273">
        <f>ROUND(8.33*MAX(B105:F105)/(B103*114),3)</f>
        <v>0</v>
      </c>
      <c r="J105" s="274"/>
      <c r="K105" s="275" t="str">
        <f>IF(I105&lt;=1,"Pass","Fail")</f>
        <v>Pass</v>
      </c>
      <c r="L105" s="276"/>
    </row>
    <row r="106" spans="1:12" ht="16.2" thickBot="1" x14ac:dyDescent="0.35">
      <c r="A106" s="97" t="s">
        <v>271</v>
      </c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9"/>
    </row>
    <row r="108" spans="1:12" x14ac:dyDescent="0.3">
      <c r="A108" t="s">
        <v>272</v>
      </c>
    </row>
    <row r="109" spans="1:12" ht="16.2" thickBot="1" x14ac:dyDescent="0.35"/>
    <row r="110" spans="1:12" x14ac:dyDescent="0.3">
      <c r="A110" s="213" t="s">
        <v>65</v>
      </c>
      <c r="B110" s="82" t="s">
        <v>4</v>
      </c>
      <c r="C110" s="82" t="s">
        <v>273</v>
      </c>
      <c r="D110" s="83" t="s">
        <v>274</v>
      </c>
    </row>
    <row r="111" spans="1:12" ht="16.2" thickBot="1" x14ac:dyDescent="0.35">
      <c r="A111" s="277">
        <v>140</v>
      </c>
      <c r="B111" s="278">
        <v>50</v>
      </c>
      <c r="C111" s="278">
        <v>2</v>
      </c>
      <c r="D111" s="279">
        <v>25000</v>
      </c>
      <c r="I111" s="150"/>
    </row>
    <row r="112" spans="1:12" ht="16.2" thickBot="1" x14ac:dyDescent="0.35">
      <c r="A112" s="280"/>
      <c r="B112" s="3"/>
      <c r="C112" s="3"/>
      <c r="D112" s="162"/>
      <c r="E112" s="3"/>
      <c r="F112" s="3"/>
      <c r="G112" s="3"/>
      <c r="H112" s="3"/>
      <c r="I112" s="150"/>
    </row>
    <row r="113" spans="1:15" ht="14.4" customHeight="1" x14ac:dyDescent="0.3">
      <c r="A113" s="281" t="s">
        <v>115</v>
      </c>
      <c r="B113" s="282"/>
      <c r="C113" s="282"/>
      <c r="D113" s="282"/>
      <c r="E113" s="282" t="s">
        <v>275</v>
      </c>
      <c r="F113" s="282"/>
      <c r="G113" s="282" t="s">
        <v>276</v>
      </c>
      <c r="H113" s="282" t="s">
        <v>63</v>
      </c>
      <c r="I113" s="283" t="s">
        <v>277</v>
      </c>
    </row>
    <row r="114" spans="1:15" ht="15" customHeight="1" thickBot="1" x14ac:dyDescent="0.35">
      <c r="A114" s="284"/>
      <c r="B114" s="34"/>
      <c r="C114" s="34"/>
      <c r="D114" s="34"/>
      <c r="E114" s="34"/>
      <c r="F114" s="34"/>
      <c r="G114" s="34"/>
      <c r="H114" s="34"/>
      <c r="I114" s="285"/>
    </row>
    <row r="115" spans="1:15" ht="14.25" customHeight="1" x14ac:dyDescent="0.3">
      <c r="A115" s="286" t="s">
        <v>278</v>
      </c>
      <c r="B115" s="287"/>
      <c r="C115" s="287"/>
      <c r="D115" s="287"/>
      <c r="E115" s="288">
        <v>2.7E-2</v>
      </c>
      <c r="F115" s="289" t="s">
        <v>159</v>
      </c>
      <c r="G115" s="290">
        <f>ROUND((E115*D111)/(60*B111),3)</f>
        <v>0.22500000000000001</v>
      </c>
      <c r="H115" s="291" t="str">
        <f>IF(E115&lt;=2,"Pass","Fail")</f>
        <v>Pass</v>
      </c>
      <c r="I115" s="292" t="s">
        <v>279</v>
      </c>
    </row>
    <row r="116" spans="1:15" ht="14.25" customHeight="1" x14ac:dyDescent="0.3">
      <c r="A116" s="293" t="s">
        <v>280</v>
      </c>
      <c r="B116" s="294"/>
      <c r="C116" s="294"/>
      <c r="D116" s="294"/>
      <c r="E116" s="295">
        <v>4.3999999999999997E-2</v>
      </c>
      <c r="F116" s="296" t="s">
        <v>159</v>
      </c>
      <c r="G116" s="75">
        <f>ROUND((E116*D111)/(60*B111),3)</f>
        <v>0.36699999999999999</v>
      </c>
      <c r="H116" s="297" t="str">
        <f t="shared" ref="H116:H119" si="11">IF(E116&lt;=2,"Pass","Fail")</f>
        <v>Pass</v>
      </c>
      <c r="I116" s="298"/>
    </row>
    <row r="117" spans="1:15" ht="14.25" customHeight="1" x14ac:dyDescent="0.3">
      <c r="A117" s="293" t="s">
        <v>281</v>
      </c>
      <c r="B117" s="294"/>
      <c r="C117" s="294"/>
      <c r="D117" s="294"/>
      <c r="E117" s="295">
        <v>3.4000000000000002E-2</v>
      </c>
      <c r="F117" s="296" t="s">
        <v>159</v>
      </c>
      <c r="G117" s="75">
        <f>ROUND((E117*D111)/(60*B111),3)</f>
        <v>0.28299999999999997</v>
      </c>
      <c r="H117" s="297" t="str">
        <f t="shared" si="11"/>
        <v>Pass</v>
      </c>
      <c r="I117" s="298"/>
    </row>
    <row r="118" spans="1:15" ht="14.25" customHeight="1" x14ac:dyDescent="0.3">
      <c r="A118" s="293" t="s">
        <v>282</v>
      </c>
      <c r="B118" s="294"/>
      <c r="C118" s="294"/>
      <c r="D118" s="294"/>
      <c r="E118" s="295">
        <v>0.04</v>
      </c>
      <c r="F118" s="296" t="s">
        <v>159</v>
      </c>
      <c r="G118" s="75">
        <f>ROUND((E118*D111)/(60*B111),3)</f>
        <v>0.33300000000000002</v>
      </c>
      <c r="H118" s="297" t="str">
        <f t="shared" si="11"/>
        <v>Pass</v>
      </c>
      <c r="I118" s="298"/>
    </row>
    <row r="119" spans="1:15" ht="14.7" customHeight="1" thickBot="1" x14ac:dyDescent="0.35">
      <c r="A119" s="299" t="s">
        <v>283</v>
      </c>
      <c r="B119" s="300"/>
      <c r="C119" s="300"/>
      <c r="D119" s="300"/>
      <c r="E119" s="301">
        <v>3.2000000000000001E-2</v>
      </c>
      <c r="F119" s="302" t="s">
        <v>159</v>
      </c>
      <c r="G119" s="303">
        <f>ROUND((E119*D111)/(60*B111),3)</f>
        <v>0.26700000000000002</v>
      </c>
      <c r="H119" s="304" t="str">
        <f t="shared" si="11"/>
        <v>Pass</v>
      </c>
      <c r="I119" s="305"/>
    </row>
    <row r="120" spans="1:15" ht="15" customHeight="1" x14ac:dyDescent="0.3">
      <c r="A120" s="306" t="s">
        <v>284</v>
      </c>
      <c r="B120" s="307"/>
      <c r="C120" s="307"/>
      <c r="D120" s="307"/>
      <c r="E120" s="308">
        <v>0.106</v>
      </c>
      <c r="F120" s="309" t="s">
        <v>159</v>
      </c>
      <c r="G120" s="310">
        <f>ROUND((E120*D111)/(60*B111),3)</f>
        <v>0.88300000000000001</v>
      </c>
      <c r="H120" s="311" t="str">
        <f>IF(E120&lt;=0.2,"Pass","Fail")</f>
        <v>Pass</v>
      </c>
      <c r="I120" s="312" t="s">
        <v>285</v>
      </c>
    </row>
    <row r="121" spans="1:15" ht="14.25" customHeight="1" x14ac:dyDescent="0.3">
      <c r="A121" s="293" t="s">
        <v>286</v>
      </c>
      <c r="B121" s="294"/>
      <c r="C121" s="294"/>
      <c r="D121" s="294"/>
      <c r="E121" s="295">
        <v>3.7999999999999999E-2</v>
      </c>
      <c r="F121" s="296" t="s">
        <v>159</v>
      </c>
      <c r="G121" s="75">
        <f>ROUND((E121*D111)/(60*B111),3)</f>
        <v>0.317</v>
      </c>
      <c r="H121" s="297" t="str">
        <f t="shared" ref="H121:H123" si="12">IF(E121&lt;=0.2,"Pass","Fail")</f>
        <v>Pass</v>
      </c>
      <c r="I121" s="313"/>
    </row>
    <row r="122" spans="1:15" ht="14.25" customHeight="1" x14ac:dyDescent="0.3">
      <c r="A122" s="293" t="s">
        <v>287</v>
      </c>
      <c r="B122" s="294"/>
      <c r="C122" s="294"/>
      <c r="D122" s="294"/>
      <c r="E122" s="295">
        <v>4.2000000000000003E-2</v>
      </c>
      <c r="F122" s="296" t="s">
        <v>159</v>
      </c>
      <c r="G122" s="75">
        <f>ROUND((E122*D111)/(60*B111),3)</f>
        <v>0.35</v>
      </c>
      <c r="H122" s="297" t="str">
        <f t="shared" si="12"/>
        <v>Pass</v>
      </c>
      <c r="I122" s="313"/>
    </row>
    <row r="123" spans="1:15" ht="14.7" customHeight="1" x14ac:dyDescent="0.3">
      <c r="A123" s="293" t="s">
        <v>288</v>
      </c>
      <c r="B123" s="294"/>
      <c r="C123" s="294"/>
      <c r="D123" s="294"/>
      <c r="E123" s="295">
        <v>2.4E-2</v>
      </c>
      <c r="F123" s="296" t="s">
        <v>159</v>
      </c>
      <c r="G123" s="75">
        <f>ROUND((E123*D111)/(60*B111),3)</f>
        <v>0.2</v>
      </c>
      <c r="H123" s="297" t="str">
        <f t="shared" si="12"/>
        <v>Pass</v>
      </c>
      <c r="I123" s="313"/>
    </row>
    <row r="124" spans="1:15" ht="14.7" customHeight="1" thickBot="1" x14ac:dyDescent="0.35">
      <c r="A124" s="299" t="s">
        <v>289</v>
      </c>
      <c r="B124" s="300"/>
      <c r="C124" s="300"/>
      <c r="D124" s="300"/>
      <c r="E124" s="301"/>
      <c r="F124" s="302" t="s">
        <v>159</v>
      </c>
      <c r="G124" s="303" t="s">
        <v>290</v>
      </c>
      <c r="H124" s="304" t="s">
        <v>290</v>
      </c>
      <c r="I124" s="314"/>
    </row>
    <row r="125" spans="1:15" ht="16.2" thickBot="1" x14ac:dyDescent="0.35">
      <c r="H125" s="150"/>
      <c r="I125" s="150"/>
    </row>
    <row r="126" spans="1:15" ht="16.2" thickBot="1" x14ac:dyDescent="0.35">
      <c r="A126" s="315" t="s">
        <v>291</v>
      </c>
      <c r="C126" s="316" t="s">
        <v>292</v>
      </c>
      <c r="D126" s="317"/>
      <c r="E126" s="317"/>
      <c r="F126" s="317"/>
      <c r="G126" s="318"/>
      <c r="H126" s="150"/>
      <c r="I126" s="150"/>
    </row>
    <row r="127" spans="1:15" ht="16.2" thickBot="1" x14ac:dyDescent="0.35">
      <c r="A127" s="119" t="s">
        <v>293</v>
      </c>
      <c r="B127" s="178"/>
      <c r="C127" s="178"/>
      <c r="D127" s="178"/>
      <c r="E127" s="178"/>
      <c r="F127" s="178"/>
      <c r="G127" s="173"/>
      <c r="H127" s="171"/>
      <c r="I127" s="171"/>
      <c r="J127" s="171"/>
      <c r="K127" s="171"/>
      <c r="L127" s="171"/>
      <c r="M127" s="171"/>
      <c r="N127" s="171"/>
      <c r="O127" s="171"/>
    </row>
    <row r="128" spans="1:15" ht="29.4" thickBot="1" x14ac:dyDescent="0.35">
      <c r="A128" s="172" t="s">
        <v>294</v>
      </c>
      <c r="B128" s="15" t="s">
        <v>295</v>
      </c>
      <c r="C128" s="16"/>
      <c r="D128" s="16"/>
      <c r="E128" s="17"/>
      <c r="F128" s="319" t="s">
        <v>296</v>
      </c>
      <c r="G128" s="320" t="s">
        <v>200</v>
      </c>
      <c r="H128" s="150"/>
      <c r="I128" s="150"/>
      <c r="J128" s="150"/>
      <c r="K128" s="171"/>
      <c r="L128" s="171"/>
      <c r="M128" s="171"/>
      <c r="N128" s="171"/>
      <c r="O128" s="171"/>
    </row>
    <row r="129" spans="1:15" x14ac:dyDescent="0.3">
      <c r="A129" s="213">
        <v>15</v>
      </c>
      <c r="B129" s="82" t="s">
        <v>297</v>
      </c>
      <c r="C129" s="321"/>
      <c r="D129" s="322" t="s">
        <v>298</v>
      </c>
      <c r="E129" s="321"/>
      <c r="F129" s="82" t="e">
        <f>ROUND(DEGREES(H129),2)</f>
        <v>#DIV/0!</v>
      </c>
      <c r="G129" s="196" t="e">
        <f>IF(I129&lt;2,"Pass","Fail")</f>
        <v>#DIV/0!</v>
      </c>
      <c r="H129" s="150" t="e">
        <f>ROUND(ACOS(C129/E129),4)</f>
        <v>#DIV/0!</v>
      </c>
      <c r="I129" s="150" t="e">
        <f>ABS(A129-F129)</f>
        <v>#DIV/0!</v>
      </c>
      <c r="J129" s="150"/>
      <c r="K129" s="171"/>
      <c r="L129" s="171"/>
      <c r="M129" s="171"/>
      <c r="N129" s="171"/>
      <c r="O129" s="171"/>
    </row>
    <row r="130" spans="1:15" ht="16.2" thickBot="1" x14ac:dyDescent="0.35">
      <c r="A130" s="179">
        <v>15</v>
      </c>
      <c r="B130" s="182" t="s">
        <v>299</v>
      </c>
      <c r="C130" s="278"/>
      <c r="D130" s="323" t="s">
        <v>300</v>
      </c>
      <c r="E130" s="278"/>
      <c r="F130" s="182" t="e">
        <f>ROUND(DEGREES(H130),2)</f>
        <v>#DIV/0!</v>
      </c>
      <c r="G130" s="206" t="e">
        <f>IF(I130&lt;2,"Pass","Fail")</f>
        <v>#DIV/0!</v>
      </c>
      <c r="H130" s="150" t="e">
        <f>ROUND(ACOS(C130/E130),4)</f>
        <v>#DIV/0!</v>
      </c>
      <c r="I130" s="150" t="e">
        <f>ABS(A130-F130)</f>
        <v>#DIV/0!</v>
      </c>
      <c r="J130" s="150"/>
      <c r="K130" s="171"/>
      <c r="L130" s="171"/>
      <c r="M130" s="171"/>
      <c r="N130" s="171"/>
      <c r="O130" s="171"/>
    </row>
    <row r="131" spans="1:15" ht="16.2" thickBot="1" x14ac:dyDescent="0.35">
      <c r="A131" s="324" t="s">
        <v>301</v>
      </c>
      <c r="B131" s="325"/>
      <c r="C131" s="325"/>
      <c r="D131" s="325"/>
      <c r="E131" s="325"/>
      <c r="F131" s="325"/>
      <c r="G131" s="326"/>
      <c r="H131" s="150"/>
      <c r="I131" s="150"/>
      <c r="J131" s="150"/>
      <c r="K131" s="171"/>
      <c r="L131" s="171"/>
      <c r="M131" s="171"/>
      <c r="N131" s="171"/>
      <c r="O131" s="171"/>
    </row>
    <row r="132" spans="1:15" ht="15" customHeight="1" x14ac:dyDescent="0.3">
      <c r="A132" s="327" t="s">
        <v>302</v>
      </c>
      <c r="B132" s="328"/>
      <c r="C132" s="328"/>
      <c r="D132" s="328"/>
      <c r="E132" s="328"/>
      <c r="F132" s="328"/>
      <c r="G132" s="329"/>
      <c r="H132" s="150"/>
      <c r="I132" s="150"/>
      <c r="J132" s="150"/>
      <c r="K132" s="171"/>
      <c r="L132" s="171"/>
      <c r="M132" s="171"/>
      <c r="N132" s="171"/>
      <c r="O132" s="171"/>
    </row>
    <row r="133" spans="1:15" ht="16.2" thickBot="1" x14ac:dyDescent="0.35">
      <c r="A133" s="330"/>
      <c r="B133" s="331"/>
      <c r="C133" s="331"/>
      <c r="D133" s="331"/>
      <c r="E133" s="331"/>
      <c r="F133" s="331"/>
      <c r="G133" s="332"/>
      <c r="H133" s="171"/>
      <c r="I133" s="171"/>
      <c r="J133" s="171"/>
      <c r="K133" s="171"/>
      <c r="L133" s="171"/>
      <c r="M133" s="171"/>
      <c r="N133" s="171"/>
      <c r="O133" s="171"/>
    </row>
    <row r="134" spans="1:15" ht="16.2" thickBot="1" x14ac:dyDescent="0.35">
      <c r="H134" s="171"/>
      <c r="I134" s="171"/>
      <c r="J134" s="171"/>
      <c r="K134" s="171"/>
      <c r="L134" s="171"/>
      <c r="M134" s="171"/>
      <c r="N134" s="171"/>
      <c r="O134" s="171"/>
    </row>
    <row r="135" spans="1:15" ht="16.2" thickBot="1" x14ac:dyDescent="0.35">
      <c r="A135" s="333" t="s">
        <v>303</v>
      </c>
      <c r="B135" s="246"/>
      <c r="C135" s="246"/>
      <c r="D135" s="334">
        <v>0</v>
      </c>
      <c r="E135" s="335" t="s">
        <v>304</v>
      </c>
      <c r="F135" s="336" t="str">
        <f>IF(D135&lt;=5,"Pass","Fail")</f>
        <v>Pass</v>
      </c>
      <c r="I135" s="171"/>
      <c r="J135" s="171"/>
      <c r="K135" s="171"/>
      <c r="L135" s="171"/>
      <c r="M135" s="171"/>
      <c r="N135" s="171"/>
      <c r="O135" s="171"/>
    </row>
    <row r="136" spans="1:15" x14ac:dyDescent="0.3">
      <c r="H136" s="171"/>
      <c r="I136" s="171"/>
      <c r="J136" s="171"/>
      <c r="K136" s="171"/>
      <c r="L136" s="171"/>
      <c r="M136" s="171"/>
      <c r="N136" s="171"/>
      <c r="O136" s="171"/>
    </row>
    <row r="137" spans="1:15" x14ac:dyDescent="0.3">
      <c r="H137" s="171"/>
      <c r="I137" s="171"/>
      <c r="J137" s="171"/>
      <c r="K137" s="171"/>
      <c r="L137" s="171"/>
      <c r="M137" s="171"/>
      <c r="N137" s="171"/>
      <c r="O137" s="171"/>
    </row>
    <row r="138" spans="1:15" ht="16.2" thickBot="1" x14ac:dyDescent="0.35">
      <c r="A138" s="71" t="s">
        <v>305</v>
      </c>
      <c r="H138" s="171"/>
      <c r="I138" s="171"/>
      <c r="J138" s="171"/>
      <c r="K138" s="171"/>
      <c r="L138" s="171"/>
      <c r="M138" s="171"/>
      <c r="N138" s="171"/>
      <c r="O138" s="171"/>
    </row>
    <row r="139" spans="1:15" ht="16.2" thickBot="1" x14ac:dyDescent="0.35">
      <c r="A139" s="337" t="s">
        <v>1</v>
      </c>
      <c r="B139" s="321">
        <v>0</v>
      </c>
      <c r="C139" s="321">
        <v>50</v>
      </c>
      <c r="D139" s="321">
        <v>100</v>
      </c>
      <c r="E139" s="321">
        <v>150</v>
      </c>
      <c r="F139" s="338">
        <v>200</v>
      </c>
      <c r="G139" s="339"/>
      <c r="H139" s="171"/>
      <c r="I139" s="171"/>
      <c r="J139" s="171"/>
      <c r="K139" s="171"/>
      <c r="L139" s="171"/>
      <c r="M139" s="171"/>
      <c r="N139" s="171"/>
      <c r="O139" s="171"/>
    </row>
    <row r="140" spans="1:15" x14ac:dyDescent="0.3">
      <c r="A140" s="340" t="s">
        <v>2</v>
      </c>
      <c r="B140" s="37">
        <v>15.88</v>
      </c>
      <c r="C140" s="37">
        <v>65.88</v>
      </c>
      <c r="D140" s="37">
        <v>115.88</v>
      </c>
      <c r="E140" s="37">
        <v>165.88</v>
      </c>
      <c r="F140" s="37">
        <v>215.88</v>
      </c>
      <c r="G140" s="37">
        <v>-117.68</v>
      </c>
      <c r="H140" s="171"/>
      <c r="I140" s="171"/>
      <c r="J140" s="171"/>
      <c r="K140" s="171"/>
      <c r="L140" s="171"/>
      <c r="M140" s="171"/>
      <c r="N140" s="171"/>
      <c r="O140" s="171"/>
    </row>
    <row r="141" spans="1:15" x14ac:dyDescent="0.3">
      <c r="A141" s="266"/>
      <c r="B141" s="37">
        <f>B140-B140</f>
        <v>0</v>
      </c>
      <c r="C141" s="37">
        <f>ABS(B140-C140)</f>
        <v>49.999999999999993</v>
      </c>
      <c r="D141" s="37">
        <f>ABS(B140-D140)</f>
        <v>100</v>
      </c>
      <c r="E141" s="37">
        <f>ABS(B140-E140)</f>
        <v>150</v>
      </c>
      <c r="F141" s="37">
        <f>ABS(B140-F140)</f>
        <v>200</v>
      </c>
      <c r="G141" s="37">
        <f>ABS(B140-G140)</f>
        <v>133.56</v>
      </c>
      <c r="H141" s="171"/>
      <c r="I141" s="171"/>
      <c r="J141" s="171"/>
      <c r="K141" s="171"/>
      <c r="L141" s="171"/>
      <c r="M141" s="171"/>
      <c r="N141" s="171"/>
      <c r="O141" s="171"/>
    </row>
    <row r="142" spans="1:15" ht="16.2" hidden="1" thickBot="1" x14ac:dyDescent="0.35">
      <c r="A142" s="167"/>
      <c r="B142" s="341" t="s">
        <v>306</v>
      </c>
      <c r="C142" s="342">
        <f>C139-C141</f>
        <v>0</v>
      </c>
      <c r="D142" s="342">
        <f t="shared" ref="D142:G142" si="13">D139-D141</f>
        <v>0</v>
      </c>
      <c r="E142" s="342">
        <f t="shared" si="13"/>
        <v>0</v>
      </c>
      <c r="F142" s="342">
        <f t="shared" si="13"/>
        <v>0</v>
      </c>
      <c r="G142" s="342">
        <f t="shared" si="13"/>
        <v>-133.56</v>
      </c>
      <c r="H142" s="171"/>
      <c r="I142" s="171"/>
      <c r="J142" s="171"/>
      <c r="K142" s="171"/>
      <c r="L142" s="171"/>
      <c r="M142" s="171"/>
      <c r="N142" s="171"/>
      <c r="O142" s="171"/>
    </row>
    <row r="143" spans="1:15" ht="16.2" thickBot="1" x14ac:dyDescent="0.35">
      <c r="A143" s="167"/>
      <c r="B143" s="341"/>
      <c r="C143" s="37" t="str">
        <f t="shared" ref="C143:E143" si="14">IF(C142&gt;1,"Fail","Pass")</f>
        <v>Pass</v>
      </c>
      <c r="D143" s="37" t="str">
        <f t="shared" si="14"/>
        <v>Pass</v>
      </c>
      <c r="E143" s="37" t="str">
        <f t="shared" si="14"/>
        <v>Pass</v>
      </c>
      <c r="F143" s="37" t="str">
        <f>IF(F142&gt;1,"Fail","Pass")</f>
        <v>Pass</v>
      </c>
      <c r="G143" s="296" t="str">
        <f>IF(G142&gt;1,"Fail","Pass")</f>
        <v>Pass</v>
      </c>
      <c r="H143" s="171"/>
      <c r="I143" s="171"/>
      <c r="J143" s="171"/>
      <c r="K143" s="171"/>
      <c r="L143" s="171"/>
      <c r="M143" s="171"/>
      <c r="N143" s="171"/>
      <c r="O143" s="171"/>
    </row>
    <row r="144" spans="1:15" ht="16.2" thickBot="1" x14ac:dyDescent="0.35">
      <c r="A144" s="343" t="s">
        <v>307</v>
      </c>
      <c r="B144" s="325"/>
      <c r="C144" s="325"/>
      <c r="D144" s="325"/>
      <c r="E144" s="325"/>
      <c r="F144" s="325"/>
      <c r="G144" s="326"/>
    </row>
    <row r="145" spans="1:7" ht="16.2" thickBot="1" x14ac:dyDescent="0.35">
      <c r="A145" s="343" t="s">
        <v>308</v>
      </c>
      <c r="B145" s="344"/>
      <c r="C145" s="344"/>
      <c r="D145" s="344"/>
      <c r="E145" s="344"/>
      <c r="F145" s="344"/>
      <c r="G145" s="345"/>
    </row>
  </sheetData>
  <protectedRanges>
    <protectedRange sqref="A91:B91 D91 C92 A96:B96 D96 C97" name="Range11"/>
    <protectedRange sqref="B139:G140" name="Range9"/>
    <protectedRange sqref="C129:C130 E129:E130 A129:A130 D135" name="Range8"/>
    <protectedRange sqref="B1:I4 B6:E8 G5:I7" name="Range1"/>
    <protectedRange sqref="A13:I53" name="Range2"/>
    <protectedRange sqref="H60:I64 D65 H70:I74 D75" name="Range3"/>
    <protectedRange sqref="A82:B82 A84:C86" name="Range4"/>
    <protectedRange sqref="B103:C103 B105:E105" name="Range6"/>
    <protectedRange sqref="A111:C111 E115:E124" name="Range7"/>
    <protectedRange sqref="A126" name="Range10"/>
  </protectedRanges>
  <mergeCells count="136">
    <mergeCell ref="A144:G144"/>
    <mergeCell ref="A145:G145"/>
    <mergeCell ref="A127:G127"/>
    <mergeCell ref="B128:E128"/>
    <mergeCell ref="A131:G131"/>
    <mergeCell ref="A132:G133"/>
    <mergeCell ref="A140:A141"/>
    <mergeCell ref="B142:B143"/>
    <mergeCell ref="A120:D120"/>
    <mergeCell ref="I120:I124"/>
    <mergeCell ref="A121:D121"/>
    <mergeCell ref="A122:D122"/>
    <mergeCell ref="A123:D123"/>
    <mergeCell ref="A124:D124"/>
    <mergeCell ref="A115:D115"/>
    <mergeCell ref="I115:I119"/>
    <mergeCell ref="A116:D116"/>
    <mergeCell ref="A117:D117"/>
    <mergeCell ref="A118:D118"/>
    <mergeCell ref="A119:D119"/>
    <mergeCell ref="A106:L106"/>
    <mergeCell ref="A113:D114"/>
    <mergeCell ref="E113:F114"/>
    <mergeCell ref="G113:G114"/>
    <mergeCell ref="H113:H114"/>
    <mergeCell ref="I113:I114"/>
    <mergeCell ref="I102:J102"/>
    <mergeCell ref="D103:F103"/>
    <mergeCell ref="G103:H104"/>
    <mergeCell ref="I103:J104"/>
    <mergeCell ref="K103:L104"/>
    <mergeCell ref="A104:A105"/>
    <mergeCell ref="G105:H105"/>
    <mergeCell ref="I105:J105"/>
    <mergeCell ref="K105:L105"/>
    <mergeCell ref="C95:E95"/>
    <mergeCell ref="D96:E96"/>
    <mergeCell ref="A97:B97"/>
    <mergeCell ref="C97:E97"/>
    <mergeCell ref="A98:E99"/>
    <mergeCell ref="A101:J101"/>
    <mergeCell ref="A87:F88"/>
    <mergeCell ref="C90:E90"/>
    <mergeCell ref="D91:E91"/>
    <mergeCell ref="A92:B92"/>
    <mergeCell ref="C92:E92"/>
    <mergeCell ref="A93:E93"/>
    <mergeCell ref="B82:C82"/>
    <mergeCell ref="D82:D86"/>
    <mergeCell ref="B83:C83"/>
    <mergeCell ref="B84:C84"/>
    <mergeCell ref="B85:C85"/>
    <mergeCell ref="B86:C86"/>
    <mergeCell ref="B75:C75"/>
    <mergeCell ref="H75:I75"/>
    <mergeCell ref="H76:I76"/>
    <mergeCell ref="A77:I77"/>
    <mergeCell ref="A80:C80"/>
    <mergeCell ref="B81:C81"/>
    <mergeCell ref="H81:I81"/>
    <mergeCell ref="H73:I73"/>
    <mergeCell ref="P73:Q73"/>
    <mergeCell ref="R73:S73"/>
    <mergeCell ref="H74:I74"/>
    <mergeCell ref="P74:Q74"/>
    <mergeCell ref="R74:S74"/>
    <mergeCell ref="H71:I71"/>
    <mergeCell ref="P71:Q71"/>
    <mergeCell ref="R71:S71"/>
    <mergeCell ref="H72:I72"/>
    <mergeCell ref="P72:Q72"/>
    <mergeCell ref="R72:S72"/>
    <mergeCell ref="H66:I66"/>
    <mergeCell ref="H69:I69"/>
    <mergeCell ref="P69:Q69"/>
    <mergeCell ref="R69:S69"/>
    <mergeCell ref="H70:I70"/>
    <mergeCell ref="P70:Q70"/>
    <mergeCell ref="R70:S70"/>
    <mergeCell ref="H61:I61"/>
    <mergeCell ref="H62:I62"/>
    <mergeCell ref="H63:I63"/>
    <mergeCell ref="H64:I64"/>
    <mergeCell ref="B65:C65"/>
    <mergeCell ref="H65:I65"/>
    <mergeCell ref="P41:Y41"/>
    <mergeCell ref="P43:Q43"/>
    <mergeCell ref="P45:S47"/>
    <mergeCell ref="A57:I57"/>
    <mergeCell ref="H59:I59"/>
    <mergeCell ref="H60:I60"/>
    <mergeCell ref="Q28:S28"/>
    <mergeCell ref="U29:U32"/>
    <mergeCell ref="X29:X32"/>
    <mergeCell ref="P33:X33"/>
    <mergeCell ref="P35:Y35"/>
    <mergeCell ref="Q36:U36"/>
    <mergeCell ref="P23:Q23"/>
    <mergeCell ref="R23:S23"/>
    <mergeCell ref="P24:Q24"/>
    <mergeCell ref="R24:S24"/>
    <mergeCell ref="P25:U25"/>
    <mergeCell ref="P27:R27"/>
    <mergeCell ref="P18:V18"/>
    <mergeCell ref="P19:V19"/>
    <mergeCell ref="P20:U20"/>
    <mergeCell ref="P21:Q21"/>
    <mergeCell ref="R21:S21"/>
    <mergeCell ref="P22:Q22"/>
    <mergeCell ref="R22:S22"/>
    <mergeCell ref="P11:X11"/>
    <mergeCell ref="P12:P13"/>
    <mergeCell ref="Q12:S12"/>
    <mergeCell ref="T12:T13"/>
    <mergeCell ref="U12:U13"/>
    <mergeCell ref="V12:V13"/>
    <mergeCell ref="X12:X13"/>
    <mergeCell ref="B8:E8"/>
    <mergeCell ref="G8:I8"/>
    <mergeCell ref="B9:E9"/>
    <mergeCell ref="G9:I9"/>
    <mergeCell ref="B10:I10"/>
    <mergeCell ref="A11:C11"/>
    <mergeCell ref="D11:I11"/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</mergeCells>
  <conditionalFormatting sqref="C142:G142">
    <cfRule type="cellIs" dxfId="40" priority="6" operator="greaterThan">
      <formula>1</formula>
    </cfRule>
  </conditionalFormatting>
  <conditionalFormatting sqref="C143:G143">
    <cfRule type="containsText" dxfId="39" priority="4" operator="containsText" text="Fail">
      <formula>NOT(ISERROR(SEARCH("Fail",C143)))</formula>
    </cfRule>
    <cfRule type="containsText" dxfId="38" priority="5" operator="containsText" text="Pass">
      <formula>NOT(ISERROR(SEARCH("Pass",C143)))</formula>
    </cfRule>
  </conditionalFormatting>
  <conditionalFormatting sqref="F84:F86">
    <cfRule type="containsText" dxfId="36" priority="19" operator="containsText" text="Fail">
      <formula>NOT(ISERROR(SEARCH("Fail",F84)))</formula>
    </cfRule>
    <cfRule type="containsText" dxfId="37" priority="20" operator="containsText" text="Pass">
      <formula>NOT(ISERROR(SEARCH("Pass",F84)))</formula>
    </cfRule>
  </conditionalFormatting>
  <conditionalFormatting sqref="F92">
    <cfRule type="containsText" dxfId="34" priority="17" operator="containsText" text="Fail">
      <formula>NOT(ISERROR(SEARCH("Fail",F92)))</formula>
    </cfRule>
    <cfRule type="containsText" dxfId="35" priority="18" operator="containsText" text="Pass">
      <formula>NOT(ISERROR(SEARCH("Pass",F92)))</formula>
    </cfRule>
  </conditionalFormatting>
  <conditionalFormatting sqref="F97">
    <cfRule type="containsText" dxfId="33" priority="15" operator="containsText" text="Fail">
      <formula>NOT(ISERROR(SEARCH("Fail",F97)))</formula>
    </cfRule>
    <cfRule type="containsText" dxfId="32" priority="16" operator="containsText" text="Pass">
      <formula>NOT(ISERROR(SEARCH("Pass",F97)))</formula>
    </cfRule>
  </conditionalFormatting>
  <conditionalFormatting sqref="F135">
    <cfRule type="containsText" dxfId="31" priority="7" operator="containsText" text="Fail">
      <formula>NOT(ISERROR(SEARCH("Fail",F135)))</formula>
    </cfRule>
    <cfRule type="containsText" dxfId="30" priority="8" operator="containsText" text="Pass">
      <formula>NOT(ISERROR(SEARCH("Pass",F135)))</formula>
    </cfRule>
  </conditionalFormatting>
  <conditionalFormatting sqref="G129:G130">
    <cfRule type="containsText" dxfId="29" priority="9" operator="containsText" text="Fail">
      <formula>NOT(ISERROR(SEARCH("Fail",G129)))</formula>
    </cfRule>
    <cfRule type="containsText" dxfId="28" priority="10" operator="containsText" text="Pass">
      <formula>NOT(ISERROR(SEARCH("Pass",G129)))</formula>
    </cfRule>
  </conditionalFormatting>
  <conditionalFormatting sqref="G105:H105">
    <cfRule type="cellIs" dxfId="27" priority="11" operator="greaterThan">
      <formula>114</formula>
    </cfRule>
  </conditionalFormatting>
  <conditionalFormatting sqref="H65:I65">
    <cfRule type="expression" dxfId="26" priority="39">
      <formula>$K65&gt;=20</formula>
    </cfRule>
  </conditionalFormatting>
  <conditionalFormatting sqref="H66:I66">
    <cfRule type="containsText" dxfId="24" priority="22" operator="containsText" text="Pass">
      <formula>NOT(ISERROR(SEARCH("Pass",H66)))</formula>
    </cfRule>
    <cfRule type="containsText" dxfId="25" priority="24" operator="containsText" text="Fail">
      <formula>NOT(ISERROR(SEARCH("Fail",H66)))</formula>
    </cfRule>
  </conditionalFormatting>
  <conditionalFormatting sqref="H75:I75">
    <cfRule type="expression" dxfId="23" priority="37">
      <formula>$K74&gt;=20</formula>
    </cfRule>
  </conditionalFormatting>
  <conditionalFormatting sqref="H76:I76 H78:I79">
    <cfRule type="containsText" dxfId="21" priority="21" operator="containsText" text="Pass">
      <formula>NOT(ISERROR(SEARCH("Pass",H76)))</formula>
    </cfRule>
    <cfRule type="containsText" dxfId="22" priority="23" operator="containsText" text="Fail">
      <formula>NOT(ISERROR(SEARCH("Fail",H76)))</formula>
    </cfRule>
  </conditionalFormatting>
  <conditionalFormatting sqref="I105:J105">
    <cfRule type="cellIs" dxfId="20" priority="12" operator="greaterThan">
      <formula>1</formula>
    </cfRule>
  </conditionalFormatting>
  <conditionalFormatting sqref="K65">
    <cfRule type="cellIs" dxfId="19" priority="40" operator="greaterThan">
      <formula>20</formula>
    </cfRule>
  </conditionalFormatting>
  <conditionalFormatting sqref="K74">
    <cfRule type="cellIs" dxfId="18" priority="38" operator="greaterThan">
      <formula>20</formula>
    </cfRule>
  </conditionalFormatting>
  <conditionalFormatting sqref="K105:L105">
    <cfRule type="containsText" dxfId="16" priority="13" operator="containsText" text="Fail">
      <formula>NOT(ISERROR(SEARCH("Fail",K105)))</formula>
    </cfRule>
    <cfRule type="containsText" dxfId="17" priority="14" operator="containsText" text="Pass">
      <formula>NOT(ISERROR(SEARCH("Pass",K105)))</formula>
    </cfRule>
  </conditionalFormatting>
  <conditionalFormatting sqref="Q14:T14">
    <cfRule type="cellIs" dxfId="15" priority="33" operator="lessThanOrEqual">
      <formula>$P$14-2</formula>
    </cfRule>
    <cfRule type="cellIs" dxfId="14" priority="34" operator="greaterThanOrEqual">
      <formula>$P$14+2</formula>
    </cfRule>
  </conditionalFormatting>
  <conditionalFormatting sqref="Q15:T15">
    <cfRule type="cellIs" dxfId="13" priority="31" operator="lessThanOrEqual">
      <formula>$P$15-2</formula>
    </cfRule>
    <cfRule type="cellIs" dxfId="12" priority="32" operator="greaterThanOrEqual">
      <formula>$P$15+2</formula>
    </cfRule>
  </conditionalFormatting>
  <conditionalFormatting sqref="Q16:T16">
    <cfRule type="cellIs" dxfId="11" priority="29" operator="lessThanOrEqual">
      <formula>$P$16-2</formula>
    </cfRule>
    <cfRule type="cellIs" dxfId="10" priority="30" operator="greaterThanOrEqual">
      <formula>$P$16+2</formula>
    </cfRule>
  </conditionalFormatting>
  <conditionalFormatting sqref="Q17:T17">
    <cfRule type="cellIs" dxfId="9" priority="27" operator="lessThanOrEqual">
      <formula>$P$17-2</formula>
    </cfRule>
    <cfRule type="cellIs" dxfId="8" priority="28" operator="greaterThanOrEqual">
      <formula>$P$17+2</formula>
    </cfRule>
  </conditionalFormatting>
  <conditionalFormatting sqref="R44:S44">
    <cfRule type="cellIs" dxfId="7" priority="3" operator="lessThan">
      <formula>2.5</formula>
    </cfRule>
  </conditionalFormatting>
  <conditionalFormatting sqref="S44">
    <cfRule type="containsText" dxfId="6" priority="1" operator="containsText" text="Fail">
      <formula>NOT(ISERROR(SEARCH("Fail",S44)))</formula>
    </cfRule>
    <cfRule type="containsText" dxfId="5" priority="2" operator="containsText" text="Pass">
      <formula>NOT(ISERROR(SEARCH("Pass",S44)))</formula>
    </cfRule>
  </conditionalFormatting>
  <conditionalFormatting sqref="U14:U17 U22:U24 X29:X32 Y37:Y40 H115:H124">
    <cfRule type="containsText" dxfId="4" priority="35" operator="containsText" text="Pass">
      <formula>NOT(ISERROR(SEARCH("Pass",H14)))</formula>
    </cfRule>
    <cfRule type="containsText" dxfId="3" priority="36" operator="containsText" text="Fail">
      <formula>NOT(ISERROR(SEARCH("Fail",H14)))</formula>
    </cfRule>
  </conditionalFormatting>
  <conditionalFormatting sqref="U29:U32">
    <cfRule type="cellIs" dxfId="2" priority="25" operator="greaterThanOrEqual">
      <formula>0.1</formula>
    </cfRule>
  </conditionalFormatting>
  <conditionalFormatting sqref="X37:X40">
    <cfRule type="cellIs" dxfId="1" priority="26" operator="greaterThanOrEqual">
      <formula>0.05</formula>
    </cfRule>
  </conditionalFormatting>
  <conditionalFormatting sqref="AA7">
    <cfRule type="expression" dxfId="0" priority="41">
      <formula>IF(X14&gt;=2,"Fail",IF(X14&gt;-2,"Pass",IF(X14&lt;-2,"Fail",IF(X14=-2,"Fail"))))</formula>
    </cfRule>
  </conditionalFormatting>
  <dataValidations count="2">
    <dataValidation type="list" showInputMessage="1" showErrorMessage="1" sqref="A126" xr:uid="{B2F50F6A-B5C8-44A9-ADD0-A92B808AA319}">
      <formula1>"Gantry Tilt Applicable, Gantry Tilt Not Applicable"</formula1>
    </dataValidation>
    <dataValidation type="list" allowBlank="1" showInputMessage="1" showErrorMessage="1" sqref="E80" xr:uid="{9BCA0718-F694-474A-87F5-AAB91CB31C36}">
      <formula1>$I$82:$I$84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 Scan Data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2026-03-12T10:55:47Z</dcterms:modified>
</cp:coreProperties>
</file>